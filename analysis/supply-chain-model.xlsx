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hnguyen/Documents/jacobs-industries-supply-chain-optimization/analysis/"/>
    </mc:Choice>
  </mc:AlternateContent>
  <xr:revisionPtr revIDLastSave="0" documentId="13_ncr:1_{48FD5B74-3C14-4D40-9764-4C67323C155E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ummary" sheetId="6" r:id="rId1"/>
    <sheet name="Consolidated data" sheetId="7" r:id="rId2"/>
    <sheet name="Calopeia" sheetId="5" r:id="rId3"/>
    <sheet name="Sorange" sheetId="4" r:id="rId4"/>
    <sheet name="Tyran" sheetId="3" r:id="rId5"/>
    <sheet name="Fardo" sheetId="1" r:id="rId6"/>
    <sheet name="Entworpe" sheetId="2" r:id="rId7"/>
  </sheets>
  <definedNames>
    <definedName name="_xlnm._FilterDatabase" localSheetId="6" hidden="1">Entworpe!$A$1:$B$731</definedName>
    <definedName name="Adj_prod_LT_Calopeia">Summary!$I$88</definedName>
    <definedName name="Adj_prod_LT_Fardo">Summary!$I$91</definedName>
    <definedName name="Adj_prod_LT_Sorange">Summary!$I$89</definedName>
    <definedName name="Adj_prod_LT_Tyran">Summary!$I$90</definedName>
    <definedName name="Avg_demand_per_day_Calopeia">'Consolidated data'!$B$2</definedName>
    <definedName name="Avg_demand_per_day_Entworpe">'Consolidated data'!$F$2</definedName>
    <definedName name="Avg_demand_per_day_Fardo">'Consolidated data'!$E$2</definedName>
    <definedName name="Avg_demand_per_day_Sorange">'Consolidated data'!$C$2</definedName>
    <definedName name="Avg_demand_per_day_Tyran">'Consolidated data'!$D$2</definedName>
    <definedName name="Avg_LT_demand_Calopeia">Summary!$O$88</definedName>
    <definedName name="Avg_LT_demand_Fardo">Summary!$O$91</definedName>
    <definedName name="Avg_LT_demand_Sorange">Summary!$O$89</definedName>
    <definedName name="Avg_LT_demand_Tyran">Summary!$O$90</definedName>
    <definedName name="Calopeia_capacity_buffer">Summary!$E$33</definedName>
    <definedName name="Capacity_cost">Summary!$D$47</definedName>
    <definedName name="Co_Calopeia">Summary!$L$88</definedName>
    <definedName name="Co_Fardo">Summary!$L$91</definedName>
    <definedName name="Co_Sorange">Summary!$L$89</definedName>
    <definedName name="Co_Tyran">Summary!$L$90</definedName>
    <definedName name="Cu_Calopeia">Summary!$E$88</definedName>
    <definedName name="Cu_Fardo">Summary!$E$91</definedName>
    <definedName name="Cu_Sorange">Summary!$E$89</definedName>
    <definedName name="Cu_Tyran">Summary!$E$90</definedName>
    <definedName name="Cycle_length_Calopeia">Summary!$K$88</definedName>
    <definedName name="Cycle_length_Fardo">Summary!$K$91</definedName>
    <definedName name="Cycle_length_Sorange">Summary!$K$89</definedName>
    <definedName name="Cycle_length_Tyran">Summary!$K$90</definedName>
    <definedName name="Effective_LT_Calopeia">Summary!$J$88</definedName>
    <definedName name="Effective_LT_Fardo">Summary!$J$91</definedName>
    <definedName name="Effective_LT_Sorange">Summary!$J$89</definedName>
    <definedName name="Effective_LT_Tyran">Summary!$J$90</definedName>
    <definedName name="Factory_cost">Summary!$D$46</definedName>
    <definedName name="Fardo_capacity">Summary!$F$55</definedName>
    <definedName name="Fardo_capacity_buffer">Summary!$F$33</definedName>
    <definedName name="First_phase_demand">Summary!$I$3</definedName>
    <definedName name="First_phase_prod_time">Summary!$C$99</definedName>
    <definedName name="Forecast_from_day_791_Calopeia">'Consolidated data'!$H$2</definedName>
    <definedName name="Forecast_from_day_791_Entworpe">'Consolidated data'!$L$2</definedName>
    <definedName name="Forecast_from_day_791_Fardo">'Consolidated data'!$K$2</definedName>
    <definedName name="Forecast_from_day_791_Sorange">'Consolidated data'!$I$2</definedName>
    <definedName name="Forecast_from_day_791_Tyran">'Consolidated data'!$J$2</definedName>
    <definedName name="Forecast_from_day_821_Calopeia">'Consolidated data'!$H$3</definedName>
    <definedName name="Forecast_from_day_821_Entworpe">'Consolidated data'!$L$3</definedName>
    <definedName name="Forecast_from_day_821_Fardo">'Consolidated data'!$K$3</definedName>
    <definedName name="Forecast_from_day_821_Sorange">'Consolidated data'!$I$3</definedName>
    <definedName name="Forecast_from_day_821_Tyran">'Consolidated data'!$J$3</definedName>
    <definedName name="Holding_cost">Summary!$C$83</definedName>
    <definedName name="Holding_cost_per_drum_day_Calopeia">Summary!$F$88</definedName>
    <definedName name="Holding_cost_per_drum_day_Fardo">Summary!$F$91</definedName>
    <definedName name="Holding_cost_per_drum_day_Sorange">Summary!$F$89</definedName>
    <definedName name="Holding_cost_per_drum_day_Tyran">Summary!$F$90</definedName>
    <definedName name="Mailing_cost_continent_Fardo">Summary!$E$43</definedName>
    <definedName name="Mailing_cost_different_region">Summary!$E$42</definedName>
    <definedName name="Mailing_cost_same_region">Summary!$E$41</definedName>
    <definedName name="Original_capacity">Summary!$D$19</definedName>
    <definedName name="Practical_batch_Calopeia">Summary!$H$88</definedName>
    <definedName name="Practical_batch_Fardo">Summary!$H$91</definedName>
    <definedName name="Practical_batch_Sorange">Summary!$H$89</definedName>
    <definedName name="Practical_batch_Tyran">Summary!$H$90</definedName>
    <definedName name="Production_cost_per_drum_Calopeia">Summary!$D$88</definedName>
    <definedName name="Production_cost_per_drum_Fardo">Summary!$D$91</definedName>
    <definedName name="Production_cost_per_drum_Sorange">Summary!$D$89</definedName>
    <definedName name="Production_cost_per_drum_Tyran">Summary!$D$90</definedName>
    <definedName name="Remaining_inventory_at_day_821">Summary!$D$23</definedName>
    <definedName name="Remaining_time_factory_capacity">Summary!$D$29</definedName>
    <definedName name="Remaining_time_WH">Summary!$D$31</definedName>
    <definedName name="Revenue_per_drum">Summary!$C$80</definedName>
    <definedName name="Setup_cost_per_batch">Summary!$C$82</definedName>
    <definedName name="SL_Calopeia">Summary!$M$88</definedName>
    <definedName name="SL_Fardo">Summary!$M$91</definedName>
    <definedName name="SL_Sorange">Summary!$M$89</definedName>
    <definedName name="SL_Tyran">Summary!$M$90</definedName>
    <definedName name="SS_Calopeia">Summary!$P$88</definedName>
    <definedName name="SS_Fardo">Summary!$P$91</definedName>
    <definedName name="SS_Sorange">Summary!$P$89</definedName>
    <definedName name="SS_Tyran">Summary!$P$90</definedName>
    <definedName name="Starting_Inventory">Summary!$D$20</definedName>
    <definedName name="std_Calopeia_WH">'Consolidated data'!$M$3</definedName>
    <definedName name="std_Fardo">'Consolidated data'!$E$3</definedName>
    <definedName name="std_Sorange">'Consolidated data'!$C$3</definedName>
    <definedName name="std_Tyran">'Consolidated data'!$D$3</definedName>
    <definedName name="Truck_capacity">Summary!$C$85</definedName>
    <definedName name="Truck_time_continent_Fardo">Summary!$F$43</definedName>
    <definedName name="Truck_time_different_region">Summary!$F$42</definedName>
    <definedName name="Truck_time_same_region">Summary!$F$41</definedName>
    <definedName name="Trucking_cost_continent_Fardo">Summary!$D$43</definedName>
    <definedName name="Trucking_cost_different_region">Summary!$D$42</definedName>
    <definedName name="Trucking_cost_same_region">Summary!$D$41</definedName>
    <definedName name="Variable_production_cost">Summary!$C$81</definedName>
    <definedName name="WH_cost">Summary!$D$48</definedName>
    <definedName name="z_Calopeia">Summary!$N$88</definedName>
    <definedName name="z_Fardo">Summary!$N$91</definedName>
    <definedName name="z_Sorange">Summary!$N$89</definedName>
    <definedName name="z_Tyran">Summary!$N$90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6" l="1"/>
  <c r="D21" i="6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04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M373" i="7" s="1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M573" i="7" s="1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M623" i="7" s="1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M673" i="7" s="1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M723" i="7" s="1"/>
  <c r="F724" i="7"/>
  <c r="F725" i="7"/>
  <c r="F726" i="7"/>
  <c r="F727" i="7"/>
  <c r="F728" i="7"/>
  <c r="F729" i="7"/>
  <c r="F730" i="7"/>
  <c r="F731" i="7"/>
  <c r="F732" i="7"/>
  <c r="F733" i="7"/>
  <c r="F734" i="7"/>
  <c r="F5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04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3" i="7" s="1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3" i="7" s="1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5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0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2" i="7" s="1"/>
  <c r="G62" i="6" s="1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3" i="7" s="1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5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04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2" i="7" s="1"/>
  <c r="G61" i="6" s="1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C2" i="7" s="1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3" i="7" s="1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5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04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370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5" i="7"/>
  <c r="B371" i="7"/>
  <c r="B372" i="7"/>
  <c r="B373" i="7"/>
  <c r="B374" i="7"/>
  <c r="B375" i="7"/>
  <c r="B376" i="7"/>
  <c r="M376" i="7" s="1"/>
  <c r="B377" i="7"/>
  <c r="M377" i="7" s="1"/>
  <c r="B378" i="7"/>
  <c r="M378" i="7" s="1"/>
  <c r="B379" i="7"/>
  <c r="M379" i="7" s="1"/>
  <c r="B380" i="7"/>
  <c r="B381" i="7"/>
  <c r="B382" i="7"/>
  <c r="B383" i="7"/>
  <c r="B384" i="7"/>
  <c r="B385" i="7"/>
  <c r="B386" i="7"/>
  <c r="B387" i="7"/>
  <c r="B388" i="7"/>
  <c r="M388" i="7" s="1"/>
  <c r="B389" i="7"/>
  <c r="M389" i="7" s="1"/>
  <c r="B390" i="7"/>
  <c r="M390" i="7" s="1"/>
  <c r="B391" i="7"/>
  <c r="B392" i="7"/>
  <c r="B393" i="7"/>
  <c r="B394" i="7"/>
  <c r="B395" i="7"/>
  <c r="B396" i="7"/>
  <c r="M396" i="7" s="1"/>
  <c r="B397" i="7"/>
  <c r="M397" i="7" s="1"/>
  <c r="B398" i="7"/>
  <c r="B399" i="7"/>
  <c r="B400" i="7"/>
  <c r="M400" i="7" s="1"/>
  <c r="B401" i="7"/>
  <c r="B402" i="7"/>
  <c r="B403" i="7"/>
  <c r="B404" i="7"/>
  <c r="B405" i="7"/>
  <c r="B406" i="7"/>
  <c r="B407" i="7"/>
  <c r="M407" i="7" s="1"/>
  <c r="B408" i="7"/>
  <c r="M408" i="7" s="1"/>
  <c r="B409" i="7"/>
  <c r="M409" i="7" s="1"/>
  <c r="B410" i="7"/>
  <c r="M410" i="7" s="1"/>
  <c r="B411" i="7"/>
  <c r="B412" i="7"/>
  <c r="B413" i="7"/>
  <c r="B414" i="7"/>
  <c r="B415" i="7"/>
  <c r="B416" i="7"/>
  <c r="B417" i="7"/>
  <c r="B418" i="7"/>
  <c r="B419" i="7"/>
  <c r="M419" i="7" s="1"/>
  <c r="B420" i="7"/>
  <c r="M420" i="7" s="1"/>
  <c r="B421" i="7"/>
  <c r="B422" i="7"/>
  <c r="B423" i="7"/>
  <c r="B424" i="7"/>
  <c r="B425" i="7"/>
  <c r="B426" i="7"/>
  <c r="M426" i="7" s="1"/>
  <c r="B427" i="7"/>
  <c r="M427" i="7" s="1"/>
  <c r="B428" i="7"/>
  <c r="M428" i="7" s="1"/>
  <c r="B429" i="7"/>
  <c r="M429" i="7" s="1"/>
  <c r="B430" i="7"/>
  <c r="B431" i="7"/>
  <c r="B432" i="7"/>
  <c r="B433" i="7"/>
  <c r="B434" i="7"/>
  <c r="B435" i="7"/>
  <c r="B436" i="7"/>
  <c r="B437" i="7"/>
  <c r="B438" i="7"/>
  <c r="M438" i="7" s="1"/>
  <c r="B439" i="7"/>
  <c r="M439" i="7" s="1"/>
  <c r="B440" i="7"/>
  <c r="M440" i="7" s="1"/>
  <c r="B441" i="7"/>
  <c r="B442" i="7"/>
  <c r="B443" i="7"/>
  <c r="B444" i="7"/>
  <c r="B445" i="7"/>
  <c r="B446" i="7"/>
  <c r="M446" i="7" s="1"/>
  <c r="B447" i="7"/>
  <c r="M447" i="7" s="1"/>
  <c r="B448" i="7"/>
  <c r="B449" i="7"/>
  <c r="B450" i="7"/>
  <c r="M450" i="7" s="1"/>
  <c r="B451" i="7"/>
  <c r="B452" i="7"/>
  <c r="B453" i="7"/>
  <c r="B454" i="7"/>
  <c r="B455" i="7"/>
  <c r="B456" i="7"/>
  <c r="B457" i="7"/>
  <c r="M457" i="7" s="1"/>
  <c r="B458" i="7"/>
  <c r="M458" i="7" s="1"/>
  <c r="B459" i="7"/>
  <c r="M459" i="7" s="1"/>
  <c r="B460" i="7"/>
  <c r="M460" i="7" s="1"/>
  <c r="B461" i="7"/>
  <c r="B462" i="7"/>
  <c r="B463" i="7"/>
  <c r="B464" i="7"/>
  <c r="B465" i="7"/>
  <c r="B466" i="7"/>
  <c r="B467" i="7"/>
  <c r="B468" i="7"/>
  <c r="B469" i="7"/>
  <c r="M469" i="7" s="1"/>
  <c r="B470" i="7"/>
  <c r="M470" i="7" s="1"/>
  <c r="B471" i="7"/>
  <c r="B472" i="7"/>
  <c r="B473" i="7"/>
  <c r="B474" i="7"/>
  <c r="B475" i="7"/>
  <c r="B476" i="7"/>
  <c r="M476" i="7" s="1"/>
  <c r="B477" i="7"/>
  <c r="M477" i="7" s="1"/>
  <c r="B478" i="7"/>
  <c r="M478" i="7" s="1"/>
  <c r="B479" i="7"/>
  <c r="M479" i="7" s="1"/>
  <c r="B480" i="7"/>
  <c r="B481" i="7"/>
  <c r="B482" i="7"/>
  <c r="B483" i="7"/>
  <c r="B484" i="7"/>
  <c r="B485" i="7"/>
  <c r="B486" i="7"/>
  <c r="B487" i="7"/>
  <c r="B488" i="7"/>
  <c r="M488" i="7" s="1"/>
  <c r="B489" i="7"/>
  <c r="M489" i="7" s="1"/>
  <c r="B490" i="7"/>
  <c r="M490" i="7" s="1"/>
  <c r="B491" i="7"/>
  <c r="B492" i="7"/>
  <c r="B493" i="7"/>
  <c r="B494" i="7"/>
  <c r="B495" i="7"/>
  <c r="B496" i="7"/>
  <c r="M496" i="7" s="1"/>
  <c r="B497" i="7"/>
  <c r="M497" i="7" s="1"/>
  <c r="B498" i="7"/>
  <c r="B499" i="7"/>
  <c r="B500" i="7"/>
  <c r="M500" i="7" s="1"/>
  <c r="B501" i="7"/>
  <c r="B502" i="7"/>
  <c r="B503" i="7"/>
  <c r="B504" i="7"/>
  <c r="B505" i="7"/>
  <c r="B506" i="7"/>
  <c r="B507" i="7"/>
  <c r="M507" i="7" s="1"/>
  <c r="B508" i="7"/>
  <c r="M508" i="7" s="1"/>
  <c r="B509" i="7"/>
  <c r="M509" i="7" s="1"/>
  <c r="B510" i="7"/>
  <c r="M510" i="7" s="1"/>
  <c r="B511" i="7"/>
  <c r="B512" i="7"/>
  <c r="B513" i="7"/>
  <c r="B514" i="7"/>
  <c r="B515" i="7"/>
  <c r="B516" i="7"/>
  <c r="B517" i="7"/>
  <c r="B518" i="7"/>
  <c r="B519" i="7"/>
  <c r="M519" i="7" s="1"/>
  <c r="B520" i="7"/>
  <c r="M520" i="7" s="1"/>
  <c r="B521" i="7"/>
  <c r="B522" i="7"/>
  <c r="B523" i="7"/>
  <c r="B524" i="7"/>
  <c r="B525" i="7"/>
  <c r="B526" i="7"/>
  <c r="M526" i="7" s="1"/>
  <c r="B527" i="7"/>
  <c r="M527" i="7" s="1"/>
  <c r="B528" i="7"/>
  <c r="M528" i="7" s="1"/>
  <c r="B529" i="7"/>
  <c r="M529" i="7" s="1"/>
  <c r="B530" i="7"/>
  <c r="B531" i="7"/>
  <c r="B532" i="7"/>
  <c r="B533" i="7"/>
  <c r="B534" i="7"/>
  <c r="B535" i="7"/>
  <c r="B536" i="7"/>
  <c r="B537" i="7"/>
  <c r="B538" i="7"/>
  <c r="M538" i="7" s="1"/>
  <c r="B539" i="7"/>
  <c r="M539" i="7" s="1"/>
  <c r="B540" i="7"/>
  <c r="M540" i="7" s="1"/>
  <c r="B541" i="7"/>
  <c r="B542" i="7"/>
  <c r="B543" i="7"/>
  <c r="B544" i="7"/>
  <c r="B545" i="7"/>
  <c r="B546" i="7"/>
  <c r="M546" i="7" s="1"/>
  <c r="B547" i="7"/>
  <c r="M547" i="7" s="1"/>
  <c r="B548" i="7"/>
  <c r="B549" i="7"/>
  <c r="B550" i="7"/>
  <c r="M550" i="7" s="1"/>
  <c r="B551" i="7"/>
  <c r="B552" i="7"/>
  <c r="B553" i="7"/>
  <c r="B554" i="7"/>
  <c r="B555" i="7"/>
  <c r="B556" i="7"/>
  <c r="B557" i="7"/>
  <c r="M557" i="7" s="1"/>
  <c r="B558" i="7"/>
  <c r="M558" i="7" s="1"/>
  <c r="B559" i="7"/>
  <c r="M559" i="7" s="1"/>
  <c r="B560" i="7"/>
  <c r="M560" i="7" s="1"/>
  <c r="B561" i="7"/>
  <c r="B562" i="7"/>
  <c r="B563" i="7"/>
  <c r="B564" i="7"/>
  <c r="B565" i="7"/>
  <c r="B566" i="7"/>
  <c r="B567" i="7"/>
  <c r="B568" i="7"/>
  <c r="B569" i="7"/>
  <c r="M569" i="7" s="1"/>
  <c r="B570" i="7"/>
  <c r="M570" i="7" s="1"/>
  <c r="B571" i="7"/>
  <c r="B572" i="7"/>
  <c r="B573" i="7"/>
  <c r="B574" i="7"/>
  <c r="B575" i="7"/>
  <c r="B576" i="7"/>
  <c r="M576" i="7" s="1"/>
  <c r="B577" i="7"/>
  <c r="M577" i="7" s="1"/>
  <c r="B578" i="7"/>
  <c r="M578" i="7" s="1"/>
  <c r="B579" i="7"/>
  <c r="M579" i="7" s="1"/>
  <c r="B580" i="7"/>
  <c r="B581" i="7"/>
  <c r="B582" i="7"/>
  <c r="B583" i="7"/>
  <c r="B584" i="7"/>
  <c r="B585" i="7"/>
  <c r="B586" i="7"/>
  <c r="B587" i="7"/>
  <c r="B588" i="7"/>
  <c r="M588" i="7" s="1"/>
  <c r="B589" i="7"/>
  <c r="M589" i="7" s="1"/>
  <c r="B590" i="7"/>
  <c r="M590" i="7" s="1"/>
  <c r="B591" i="7"/>
  <c r="B592" i="7"/>
  <c r="B593" i="7"/>
  <c r="B594" i="7"/>
  <c r="B595" i="7"/>
  <c r="B596" i="7"/>
  <c r="M596" i="7" s="1"/>
  <c r="B597" i="7"/>
  <c r="M597" i="7" s="1"/>
  <c r="B598" i="7"/>
  <c r="B599" i="7"/>
  <c r="B600" i="7"/>
  <c r="M600" i="7" s="1"/>
  <c r="B601" i="7"/>
  <c r="B602" i="7"/>
  <c r="B603" i="7"/>
  <c r="B604" i="7"/>
  <c r="B605" i="7"/>
  <c r="B606" i="7"/>
  <c r="B607" i="7"/>
  <c r="M607" i="7" s="1"/>
  <c r="B608" i="7"/>
  <c r="M608" i="7" s="1"/>
  <c r="B609" i="7"/>
  <c r="M609" i="7" s="1"/>
  <c r="B610" i="7"/>
  <c r="M610" i="7" s="1"/>
  <c r="B611" i="7"/>
  <c r="B612" i="7"/>
  <c r="B613" i="7"/>
  <c r="B614" i="7"/>
  <c r="B615" i="7"/>
  <c r="B616" i="7"/>
  <c r="B617" i="7"/>
  <c r="B618" i="7"/>
  <c r="B619" i="7"/>
  <c r="M619" i="7" s="1"/>
  <c r="B620" i="7"/>
  <c r="M620" i="7" s="1"/>
  <c r="B621" i="7"/>
  <c r="B622" i="7"/>
  <c r="B623" i="7"/>
  <c r="B624" i="7"/>
  <c r="B625" i="7"/>
  <c r="B626" i="7"/>
  <c r="M626" i="7" s="1"/>
  <c r="B627" i="7"/>
  <c r="M627" i="7" s="1"/>
  <c r="B628" i="7"/>
  <c r="M628" i="7" s="1"/>
  <c r="B629" i="7"/>
  <c r="M629" i="7" s="1"/>
  <c r="B630" i="7"/>
  <c r="B631" i="7"/>
  <c r="B632" i="7"/>
  <c r="B633" i="7"/>
  <c r="B634" i="7"/>
  <c r="B635" i="7"/>
  <c r="B636" i="7"/>
  <c r="B637" i="7"/>
  <c r="B638" i="7"/>
  <c r="M638" i="7" s="1"/>
  <c r="B639" i="7"/>
  <c r="M639" i="7" s="1"/>
  <c r="B640" i="7"/>
  <c r="M640" i="7" s="1"/>
  <c r="B641" i="7"/>
  <c r="B642" i="7"/>
  <c r="B643" i="7"/>
  <c r="B644" i="7"/>
  <c r="B645" i="7"/>
  <c r="B646" i="7"/>
  <c r="M646" i="7" s="1"/>
  <c r="B647" i="7"/>
  <c r="M647" i="7" s="1"/>
  <c r="B648" i="7"/>
  <c r="B649" i="7"/>
  <c r="B650" i="7"/>
  <c r="M650" i="7" s="1"/>
  <c r="B651" i="7"/>
  <c r="B652" i="7"/>
  <c r="B653" i="7"/>
  <c r="B654" i="7"/>
  <c r="B655" i="7"/>
  <c r="B656" i="7"/>
  <c r="B657" i="7"/>
  <c r="M657" i="7" s="1"/>
  <c r="B658" i="7"/>
  <c r="M658" i="7" s="1"/>
  <c r="B659" i="7"/>
  <c r="M659" i="7" s="1"/>
  <c r="B660" i="7"/>
  <c r="M660" i="7" s="1"/>
  <c r="B661" i="7"/>
  <c r="B662" i="7"/>
  <c r="B663" i="7"/>
  <c r="B664" i="7"/>
  <c r="B665" i="7"/>
  <c r="B666" i="7"/>
  <c r="B667" i="7"/>
  <c r="B668" i="7"/>
  <c r="B669" i="7"/>
  <c r="M669" i="7" s="1"/>
  <c r="B670" i="7"/>
  <c r="M670" i="7" s="1"/>
  <c r="B671" i="7"/>
  <c r="B672" i="7"/>
  <c r="B673" i="7"/>
  <c r="B674" i="7"/>
  <c r="B675" i="7"/>
  <c r="B676" i="7"/>
  <c r="M676" i="7" s="1"/>
  <c r="B677" i="7"/>
  <c r="M677" i="7" s="1"/>
  <c r="B678" i="7"/>
  <c r="M678" i="7" s="1"/>
  <c r="B679" i="7"/>
  <c r="M679" i="7" s="1"/>
  <c r="B680" i="7"/>
  <c r="B681" i="7"/>
  <c r="B682" i="7"/>
  <c r="B683" i="7"/>
  <c r="B684" i="7"/>
  <c r="B685" i="7"/>
  <c r="B686" i="7"/>
  <c r="B687" i="7"/>
  <c r="B688" i="7"/>
  <c r="M688" i="7" s="1"/>
  <c r="B689" i="7"/>
  <c r="M689" i="7" s="1"/>
  <c r="B690" i="7"/>
  <c r="M690" i="7" s="1"/>
  <c r="B691" i="7"/>
  <c r="B692" i="7"/>
  <c r="B693" i="7"/>
  <c r="B694" i="7"/>
  <c r="B695" i="7"/>
  <c r="B696" i="7"/>
  <c r="M696" i="7" s="1"/>
  <c r="B697" i="7"/>
  <c r="M697" i="7" s="1"/>
  <c r="B698" i="7"/>
  <c r="B699" i="7"/>
  <c r="B700" i="7"/>
  <c r="M700" i="7" s="1"/>
  <c r="B701" i="7"/>
  <c r="B702" i="7"/>
  <c r="B703" i="7"/>
  <c r="B704" i="7"/>
  <c r="B705" i="7"/>
  <c r="B706" i="7"/>
  <c r="B707" i="7"/>
  <c r="M707" i="7" s="1"/>
  <c r="B708" i="7"/>
  <c r="M708" i="7" s="1"/>
  <c r="B709" i="7"/>
  <c r="M709" i="7" s="1"/>
  <c r="B710" i="7"/>
  <c r="M710" i="7" s="1"/>
  <c r="B711" i="7"/>
  <c r="B712" i="7"/>
  <c r="B713" i="7"/>
  <c r="B714" i="7"/>
  <c r="B715" i="7"/>
  <c r="B716" i="7"/>
  <c r="B717" i="7"/>
  <c r="B718" i="7"/>
  <c r="B719" i="7"/>
  <c r="M719" i="7" s="1"/>
  <c r="B720" i="7"/>
  <c r="M720" i="7" s="1"/>
  <c r="B721" i="7"/>
  <c r="B722" i="7"/>
  <c r="B723" i="7"/>
  <c r="B724" i="7"/>
  <c r="B725" i="7"/>
  <c r="B726" i="7"/>
  <c r="M726" i="7" s="1"/>
  <c r="B727" i="7"/>
  <c r="M727" i="7" s="1"/>
  <c r="B728" i="7"/>
  <c r="M728" i="7" s="1"/>
  <c r="B729" i="7"/>
  <c r="M729" i="7" s="1"/>
  <c r="B730" i="7"/>
  <c r="B731" i="7"/>
  <c r="B732" i="7"/>
  <c r="B733" i="7"/>
  <c r="B734" i="7"/>
  <c r="B370" i="7"/>
  <c r="B6" i="7"/>
  <c r="B7" i="7"/>
  <c r="B8" i="7"/>
  <c r="B9" i="7"/>
  <c r="B10" i="7"/>
  <c r="B11" i="7"/>
  <c r="B12" i="7"/>
  <c r="M12" i="7" s="1"/>
  <c r="B13" i="7"/>
  <c r="M13" i="7" s="1"/>
  <c r="B14" i="7"/>
  <c r="M14" i="7" s="1"/>
  <c r="B15" i="7"/>
  <c r="M15" i="7" s="1"/>
  <c r="B16" i="7"/>
  <c r="B17" i="7"/>
  <c r="B18" i="7"/>
  <c r="B19" i="7"/>
  <c r="B20" i="7"/>
  <c r="B21" i="7"/>
  <c r="B22" i="7"/>
  <c r="M22" i="7" s="1"/>
  <c r="B23" i="7"/>
  <c r="M23" i="7" s="1"/>
  <c r="B24" i="7"/>
  <c r="M24" i="7" s="1"/>
  <c r="B25" i="7"/>
  <c r="M25" i="7" s="1"/>
  <c r="B26" i="7"/>
  <c r="B27" i="7"/>
  <c r="B28" i="7"/>
  <c r="B29" i="7"/>
  <c r="B30" i="7"/>
  <c r="B31" i="7"/>
  <c r="B32" i="7"/>
  <c r="M32" i="7" s="1"/>
  <c r="B33" i="7"/>
  <c r="M33" i="7" s="1"/>
  <c r="B34" i="7"/>
  <c r="M34" i="7" s="1"/>
  <c r="B35" i="7"/>
  <c r="M35" i="7" s="1"/>
  <c r="B36" i="7"/>
  <c r="B37" i="7"/>
  <c r="B38" i="7"/>
  <c r="B39" i="7"/>
  <c r="B40" i="7"/>
  <c r="B41" i="7"/>
  <c r="B42" i="7"/>
  <c r="M42" i="7" s="1"/>
  <c r="B43" i="7"/>
  <c r="M43" i="7" s="1"/>
  <c r="B44" i="7"/>
  <c r="M44" i="7" s="1"/>
  <c r="B45" i="7"/>
  <c r="M45" i="7" s="1"/>
  <c r="B46" i="7"/>
  <c r="B47" i="7"/>
  <c r="B48" i="7"/>
  <c r="B49" i="7"/>
  <c r="B50" i="7"/>
  <c r="B51" i="7"/>
  <c r="B52" i="7"/>
  <c r="M52" i="7" s="1"/>
  <c r="B53" i="7"/>
  <c r="M53" i="7" s="1"/>
  <c r="B54" i="7"/>
  <c r="M54" i="7" s="1"/>
  <c r="B55" i="7"/>
  <c r="M55" i="7" s="1"/>
  <c r="B56" i="7"/>
  <c r="B57" i="7"/>
  <c r="B58" i="7"/>
  <c r="B59" i="7"/>
  <c r="B60" i="7"/>
  <c r="B61" i="7"/>
  <c r="B62" i="7"/>
  <c r="M62" i="7" s="1"/>
  <c r="B63" i="7"/>
  <c r="M63" i="7" s="1"/>
  <c r="B64" i="7"/>
  <c r="M64" i="7" s="1"/>
  <c r="B65" i="7"/>
  <c r="M65" i="7" s="1"/>
  <c r="B66" i="7"/>
  <c r="B67" i="7"/>
  <c r="B68" i="7"/>
  <c r="B69" i="7"/>
  <c r="B70" i="7"/>
  <c r="B71" i="7"/>
  <c r="B72" i="7"/>
  <c r="M72" i="7" s="1"/>
  <c r="B73" i="7"/>
  <c r="M73" i="7" s="1"/>
  <c r="B74" i="7"/>
  <c r="M74" i="7" s="1"/>
  <c r="B75" i="7"/>
  <c r="M75" i="7" s="1"/>
  <c r="B76" i="7"/>
  <c r="B77" i="7"/>
  <c r="B78" i="7"/>
  <c r="B79" i="7"/>
  <c r="B80" i="7"/>
  <c r="B81" i="7"/>
  <c r="B82" i="7"/>
  <c r="M82" i="7" s="1"/>
  <c r="B83" i="7"/>
  <c r="M83" i="7" s="1"/>
  <c r="B84" i="7"/>
  <c r="M84" i="7" s="1"/>
  <c r="B85" i="7"/>
  <c r="M85" i="7" s="1"/>
  <c r="B86" i="7"/>
  <c r="B87" i="7"/>
  <c r="B88" i="7"/>
  <c r="B89" i="7"/>
  <c r="B90" i="7"/>
  <c r="B91" i="7"/>
  <c r="B92" i="7"/>
  <c r="M92" i="7" s="1"/>
  <c r="B93" i="7"/>
  <c r="M93" i="7" s="1"/>
  <c r="B94" i="7"/>
  <c r="M94" i="7" s="1"/>
  <c r="B95" i="7"/>
  <c r="M95" i="7" s="1"/>
  <c r="B96" i="7"/>
  <c r="B97" i="7"/>
  <c r="B98" i="7"/>
  <c r="B99" i="7"/>
  <c r="B100" i="7"/>
  <c r="B101" i="7"/>
  <c r="B102" i="7"/>
  <c r="M102" i="7" s="1"/>
  <c r="B103" i="7"/>
  <c r="M103" i="7" s="1"/>
  <c r="B104" i="7"/>
  <c r="M104" i="7" s="1"/>
  <c r="B105" i="7"/>
  <c r="M105" i="7" s="1"/>
  <c r="B106" i="7"/>
  <c r="B107" i="7"/>
  <c r="B108" i="7"/>
  <c r="B109" i="7"/>
  <c r="B110" i="7"/>
  <c r="B111" i="7"/>
  <c r="B112" i="7"/>
  <c r="M112" i="7" s="1"/>
  <c r="B113" i="7"/>
  <c r="M113" i="7" s="1"/>
  <c r="B114" i="7"/>
  <c r="M114" i="7" s="1"/>
  <c r="B115" i="7"/>
  <c r="M115" i="7" s="1"/>
  <c r="B116" i="7"/>
  <c r="B117" i="7"/>
  <c r="B118" i="7"/>
  <c r="B119" i="7"/>
  <c r="B120" i="7"/>
  <c r="B121" i="7"/>
  <c r="B122" i="7"/>
  <c r="M122" i="7" s="1"/>
  <c r="B123" i="7"/>
  <c r="M123" i="7" s="1"/>
  <c r="B124" i="7"/>
  <c r="M124" i="7" s="1"/>
  <c r="B125" i="7"/>
  <c r="M125" i="7" s="1"/>
  <c r="B126" i="7"/>
  <c r="B127" i="7"/>
  <c r="B128" i="7"/>
  <c r="B129" i="7"/>
  <c r="B130" i="7"/>
  <c r="B131" i="7"/>
  <c r="B132" i="7"/>
  <c r="M132" i="7" s="1"/>
  <c r="B133" i="7"/>
  <c r="M133" i="7" s="1"/>
  <c r="B134" i="7"/>
  <c r="M134" i="7" s="1"/>
  <c r="B135" i="7"/>
  <c r="M135" i="7" s="1"/>
  <c r="B136" i="7"/>
  <c r="B137" i="7"/>
  <c r="B138" i="7"/>
  <c r="B139" i="7"/>
  <c r="B140" i="7"/>
  <c r="B141" i="7"/>
  <c r="B142" i="7"/>
  <c r="M142" i="7" s="1"/>
  <c r="B143" i="7"/>
  <c r="M143" i="7" s="1"/>
  <c r="B144" i="7"/>
  <c r="M144" i="7" s="1"/>
  <c r="B145" i="7"/>
  <c r="M145" i="7" s="1"/>
  <c r="B146" i="7"/>
  <c r="B147" i="7"/>
  <c r="B148" i="7"/>
  <c r="B149" i="7"/>
  <c r="B150" i="7"/>
  <c r="B151" i="7"/>
  <c r="B152" i="7"/>
  <c r="M152" i="7" s="1"/>
  <c r="B153" i="7"/>
  <c r="M153" i="7" s="1"/>
  <c r="B154" i="7"/>
  <c r="M154" i="7" s="1"/>
  <c r="B155" i="7"/>
  <c r="M155" i="7" s="1"/>
  <c r="B156" i="7"/>
  <c r="B157" i="7"/>
  <c r="B158" i="7"/>
  <c r="B159" i="7"/>
  <c r="B160" i="7"/>
  <c r="B161" i="7"/>
  <c r="B162" i="7"/>
  <c r="M162" i="7" s="1"/>
  <c r="B163" i="7"/>
  <c r="M163" i="7" s="1"/>
  <c r="B164" i="7"/>
  <c r="M164" i="7" s="1"/>
  <c r="B165" i="7"/>
  <c r="M165" i="7" s="1"/>
  <c r="B166" i="7"/>
  <c r="B167" i="7"/>
  <c r="B168" i="7"/>
  <c r="B169" i="7"/>
  <c r="B170" i="7"/>
  <c r="B171" i="7"/>
  <c r="B172" i="7"/>
  <c r="M172" i="7" s="1"/>
  <c r="B173" i="7"/>
  <c r="M173" i="7" s="1"/>
  <c r="B174" i="7"/>
  <c r="M174" i="7" s="1"/>
  <c r="B175" i="7"/>
  <c r="M175" i="7" s="1"/>
  <c r="B176" i="7"/>
  <c r="B177" i="7"/>
  <c r="B178" i="7"/>
  <c r="B179" i="7"/>
  <c r="B180" i="7"/>
  <c r="B181" i="7"/>
  <c r="B182" i="7"/>
  <c r="M182" i="7" s="1"/>
  <c r="B183" i="7"/>
  <c r="M183" i="7" s="1"/>
  <c r="B184" i="7"/>
  <c r="M184" i="7" s="1"/>
  <c r="B185" i="7"/>
  <c r="M185" i="7" s="1"/>
  <c r="B186" i="7"/>
  <c r="B187" i="7"/>
  <c r="B188" i="7"/>
  <c r="B189" i="7"/>
  <c r="B190" i="7"/>
  <c r="B191" i="7"/>
  <c r="B192" i="7"/>
  <c r="M192" i="7" s="1"/>
  <c r="B193" i="7"/>
  <c r="M193" i="7" s="1"/>
  <c r="B194" i="7"/>
  <c r="M194" i="7" s="1"/>
  <c r="B195" i="7"/>
  <c r="M195" i="7" s="1"/>
  <c r="B196" i="7"/>
  <c r="B197" i="7"/>
  <c r="B198" i="7"/>
  <c r="B199" i="7"/>
  <c r="B200" i="7"/>
  <c r="B201" i="7"/>
  <c r="B202" i="7"/>
  <c r="M202" i="7" s="1"/>
  <c r="B203" i="7"/>
  <c r="M203" i="7" s="1"/>
  <c r="B204" i="7"/>
  <c r="M204" i="7" s="1"/>
  <c r="B205" i="7"/>
  <c r="M205" i="7" s="1"/>
  <c r="B206" i="7"/>
  <c r="B207" i="7"/>
  <c r="B208" i="7"/>
  <c r="B209" i="7"/>
  <c r="B210" i="7"/>
  <c r="B211" i="7"/>
  <c r="B212" i="7"/>
  <c r="M212" i="7" s="1"/>
  <c r="B213" i="7"/>
  <c r="M213" i="7" s="1"/>
  <c r="B214" i="7"/>
  <c r="M214" i="7" s="1"/>
  <c r="B215" i="7"/>
  <c r="M215" i="7" s="1"/>
  <c r="B216" i="7"/>
  <c r="B217" i="7"/>
  <c r="B218" i="7"/>
  <c r="B219" i="7"/>
  <c r="B220" i="7"/>
  <c r="B221" i="7"/>
  <c r="B222" i="7"/>
  <c r="M222" i="7" s="1"/>
  <c r="B223" i="7"/>
  <c r="M223" i="7" s="1"/>
  <c r="B224" i="7"/>
  <c r="M224" i="7" s="1"/>
  <c r="B225" i="7"/>
  <c r="M225" i="7" s="1"/>
  <c r="B226" i="7"/>
  <c r="B227" i="7"/>
  <c r="B228" i="7"/>
  <c r="B229" i="7"/>
  <c r="B230" i="7"/>
  <c r="B231" i="7"/>
  <c r="B232" i="7"/>
  <c r="M232" i="7" s="1"/>
  <c r="B233" i="7"/>
  <c r="M233" i="7" s="1"/>
  <c r="B234" i="7"/>
  <c r="M234" i="7" s="1"/>
  <c r="B235" i="7"/>
  <c r="M235" i="7" s="1"/>
  <c r="B236" i="7"/>
  <c r="B237" i="7"/>
  <c r="B238" i="7"/>
  <c r="B239" i="7"/>
  <c r="B240" i="7"/>
  <c r="B241" i="7"/>
  <c r="B242" i="7"/>
  <c r="M242" i="7" s="1"/>
  <c r="B243" i="7"/>
  <c r="M243" i="7" s="1"/>
  <c r="B244" i="7"/>
  <c r="M244" i="7" s="1"/>
  <c r="B245" i="7"/>
  <c r="M245" i="7" s="1"/>
  <c r="B246" i="7"/>
  <c r="B247" i="7"/>
  <c r="B248" i="7"/>
  <c r="B249" i="7"/>
  <c r="B250" i="7"/>
  <c r="B251" i="7"/>
  <c r="B252" i="7"/>
  <c r="M252" i="7" s="1"/>
  <c r="B253" i="7"/>
  <c r="M253" i="7" s="1"/>
  <c r="B254" i="7"/>
  <c r="M254" i="7" s="1"/>
  <c r="B255" i="7"/>
  <c r="M255" i="7" s="1"/>
  <c r="B256" i="7"/>
  <c r="B257" i="7"/>
  <c r="B258" i="7"/>
  <c r="B259" i="7"/>
  <c r="B260" i="7"/>
  <c r="B261" i="7"/>
  <c r="B262" i="7"/>
  <c r="M262" i="7" s="1"/>
  <c r="B263" i="7"/>
  <c r="M263" i="7" s="1"/>
  <c r="B264" i="7"/>
  <c r="M264" i="7" s="1"/>
  <c r="B265" i="7"/>
  <c r="M265" i="7" s="1"/>
  <c r="B266" i="7"/>
  <c r="B267" i="7"/>
  <c r="B268" i="7"/>
  <c r="B269" i="7"/>
  <c r="B270" i="7"/>
  <c r="B271" i="7"/>
  <c r="B272" i="7"/>
  <c r="M272" i="7" s="1"/>
  <c r="B273" i="7"/>
  <c r="M273" i="7" s="1"/>
  <c r="B274" i="7"/>
  <c r="M274" i="7" s="1"/>
  <c r="B275" i="7"/>
  <c r="M275" i="7" s="1"/>
  <c r="B276" i="7"/>
  <c r="B277" i="7"/>
  <c r="B278" i="7"/>
  <c r="B279" i="7"/>
  <c r="B280" i="7"/>
  <c r="B281" i="7"/>
  <c r="B282" i="7"/>
  <c r="M282" i="7" s="1"/>
  <c r="B283" i="7"/>
  <c r="M283" i="7" s="1"/>
  <c r="B284" i="7"/>
  <c r="M284" i="7" s="1"/>
  <c r="B285" i="7"/>
  <c r="M285" i="7" s="1"/>
  <c r="B286" i="7"/>
  <c r="B287" i="7"/>
  <c r="B288" i="7"/>
  <c r="B289" i="7"/>
  <c r="B290" i="7"/>
  <c r="B291" i="7"/>
  <c r="B292" i="7"/>
  <c r="M292" i="7" s="1"/>
  <c r="B293" i="7"/>
  <c r="M293" i="7" s="1"/>
  <c r="B294" i="7"/>
  <c r="M294" i="7" s="1"/>
  <c r="B295" i="7"/>
  <c r="M295" i="7" s="1"/>
  <c r="B296" i="7"/>
  <c r="B297" i="7"/>
  <c r="B298" i="7"/>
  <c r="B299" i="7"/>
  <c r="B300" i="7"/>
  <c r="B301" i="7"/>
  <c r="B302" i="7"/>
  <c r="M302" i="7" s="1"/>
  <c r="B303" i="7"/>
  <c r="M303" i="7" s="1"/>
  <c r="B304" i="7"/>
  <c r="M304" i="7" s="1"/>
  <c r="B305" i="7"/>
  <c r="M305" i="7" s="1"/>
  <c r="B306" i="7"/>
  <c r="B307" i="7"/>
  <c r="B308" i="7"/>
  <c r="B309" i="7"/>
  <c r="B310" i="7"/>
  <c r="B311" i="7"/>
  <c r="B312" i="7"/>
  <c r="M312" i="7" s="1"/>
  <c r="B313" i="7"/>
  <c r="M313" i="7" s="1"/>
  <c r="B314" i="7"/>
  <c r="M314" i="7" s="1"/>
  <c r="B315" i="7"/>
  <c r="M315" i="7" s="1"/>
  <c r="B316" i="7"/>
  <c r="B317" i="7"/>
  <c r="B318" i="7"/>
  <c r="B319" i="7"/>
  <c r="B320" i="7"/>
  <c r="B321" i="7"/>
  <c r="B322" i="7"/>
  <c r="M322" i="7" s="1"/>
  <c r="B323" i="7"/>
  <c r="M323" i="7" s="1"/>
  <c r="B324" i="7"/>
  <c r="M324" i="7" s="1"/>
  <c r="B325" i="7"/>
  <c r="M325" i="7" s="1"/>
  <c r="B326" i="7"/>
  <c r="B327" i="7"/>
  <c r="B328" i="7"/>
  <c r="B329" i="7"/>
  <c r="B330" i="7"/>
  <c r="B331" i="7"/>
  <c r="B332" i="7"/>
  <c r="M332" i="7" s="1"/>
  <c r="B333" i="7"/>
  <c r="M333" i="7" s="1"/>
  <c r="B334" i="7"/>
  <c r="M334" i="7" s="1"/>
  <c r="B335" i="7"/>
  <c r="M335" i="7" s="1"/>
  <c r="B336" i="7"/>
  <c r="B337" i="7"/>
  <c r="B338" i="7"/>
  <c r="B339" i="7"/>
  <c r="B340" i="7"/>
  <c r="B341" i="7"/>
  <c r="B342" i="7"/>
  <c r="M342" i="7" s="1"/>
  <c r="B343" i="7"/>
  <c r="M343" i="7" s="1"/>
  <c r="B344" i="7"/>
  <c r="M344" i="7" s="1"/>
  <c r="B345" i="7"/>
  <c r="M345" i="7" s="1"/>
  <c r="B346" i="7"/>
  <c r="B347" i="7"/>
  <c r="B348" i="7"/>
  <c r="B349" i="7"/>
  <c r="B350" i="7"/>
  <c r="B351" i="7"/>
  <c r="B352" i="7"/>
  <c r="M352" i="7" s="1"/>
  <c r="B353" i="7"/>
  <c r="M353" i="7" s="1"/>
  <c r="B354" i="7"/>
  <c r="M354" i="7" s="1"/>
  <c r="B355" i="7"/>
  <c r="M355" i="7" s="1"/>
  <c r="B356" i="7"/>
  <c r="B357" i="7"/>
  <c r="B358" i="7"/>
  <c r="B359" i="7"/>
  <c r="B360" i="7"/>
  <c r="B361" i="7"/>
  <c r="B362" i="7"/>
  <c r="M362" i="7" s="1"/>
  <c r="B363" i="7"/>
  <c r="M363" i="7" s="1"/>
  <c r="B364" i="7"/>
  <c r="M364" i="7" s="1"/>
  <c r="B365" i="7"/>
  <c r="M365" i="7" s="1"/>
  <c r="B366" i="7"/>
  <c r="B367" i="7"/>
  <c r="B368" i="7"/>
  <c r="B369" i="7"/>
  <c r="M372" i="7"/>
  <c r="M374" i="7"/>
  <c r="M375" i="7"/>
  <c r="M382" i="7"/>
  <c r="M383" i="7"/>
  <c r="M384" i="7"/>
  <c r="M385" i="7"/>
  <c r="M392" i="7"/>
  <c r="M393" i="7"/>
  <c r="M394" i="7"/>
  <c r="M395" i="7"/>
  <c r="M402" i="7"/>
  <c r="M403" i="7"/>
  <c r="M404" i="7"/>
  <c r="M405" i="7"/>
  <c r="M412" i="7"/>
  <c r="M413" i="7"/>
  <c r="M414" i="7"/>
  <c r="M415" i="7"/>
  <c r="M422" i="7"/>
  <c r="M423" i="7"/>
  <c r="M424" i="7"/>
  <c r="M425" i="7"/>
  <c r="M432" i="7"/>
  <c r="M433" i="7"/>
  <c r="M434" i="7"/>
  <c r="M435" i="7"/>
  <c r="M442" i="7"/>
  <c r="M443" i="7"/>
  <c r="M444" i="7"/>
  <c r="M445" i="7"/>
  <c r="M452" i="7"/>
  <c r="M453" i="7"/>
  <c r="M454" i="7"/>
  <c r="M455" i="7"/>
  <c r="M462" i="7"/>
  <c r="M463" i="7"/>
  <c r="M464" i="7"/>
  <c r="M465" i="7"/>
  <c r="M472" i="7"/>
  <c r="M473" i="7"/>
  <c r="M474" i="7"/>
  <c r="M475" i="7"/>
  <c r="M482" i="7"/>
  <c r="M483" i="7"/>
  <c r="M484" i="7"/>
  <c r="M485" i="7"/>
  <c r="M492" i="7"/>
  <c r="M493" i="7"/>
  <c r="M494" i="7"/>
  <c r="M495" i="7"/>
  <c r="M502" i="7"/>
  <c r="M503" i="7"/>
  <c r="M504" i="7"/>
  <c r="M505" i="7"/>
  <c r="M512" i="7"/>
  <c r="M513" i="7"/>
  <c r="M514" i="7"/>
  <c r="M515" i="7"/>
  <c r="M522" i="7"/>
  <c r="M523" i="7"/>
  <c r="M524" i="7"/>
  <c r="M525" i="7"/>
  <c r="M532" i="7"/>
  <c r="M533" i="7"/>
  <c r="M534" i="7"/>
  <c r="M535" i="7"/>
  <c r="M542" i="7"/>
  <c r="M543" i="7"/>
  <c r="M544" i="7"/>
  <c r="M545" i="7"/>
  <c r="M552" i="7"/>
  <c r="M553" i="7"/>
  <c r="M554" i="7"/>
  <c r="M555" i="7"/>
  <c r="M562" i="7"/>
  <c r="M563" i="7"/>
  <c r="M564" i="7"/>
  <c r="M565" i="7"/>
  <c r="M572" i="7"/>
  <c r="M574" i="7"/>
  <c r="M575" i="7"/>
  <c r="M582" i="7"/>
  <c r="M583" i="7"/>
  <c r="M584" i="7"/>
  <c r="M585" i="7"/>
  <c r="M592" i="7"/>
  <c r="M593" i="7"/>
  <c r="M594" i="7"/>
  <c r="M595" i="7"/>
  <c r="M602" i="7"/>
  <c r="M603" i="7"/>
  <c r="M604" i="7"/>
  <c r="M605" i="7"/>
  <c r="M612" i="7"/>
  <c r="M613" i="7"/>
  <c r="M614" i="7"/>
  <c r="M615" i="7"/>
  <c r="M622" i="7"/>
  <c r="M624" i="7"/>
  <c r="M625" i="7"/>
  <c r="M632" i="7"/>
  <c r="M633" i="7"/>
  <c r="M634" i="7"/>
  <c r="M635" i="7"/>
  <c r="M642" i="7"/>
  <c r="M643" i="7"/>
  <c r="M644" i="7"/>
  <c r="M645" i="7"/>
  <c r="M652" i="7"/>
  <c r="M653" i="7"/>
  <c r="M654" i="7"/>
  <c r="M655" i="7"/>
  <c r="M662" i="7"/>
  <c r="M663" i="7"/>
  <c r="M664" i="7"/>
  <c r="M665" i="7"/>
  <c r="M672" i="7"/>
  <c r="M674" i="7"/>
  <c r="M675" i="7"/>
  <c r="M682" i="7"/>
  <c r="M683" i="7"/>
  <c r="M684" i="7"/>
  <c r="M685" i="7"/>
  <c r="M692" i="7"/>
  <c r="M693" i="7"/>
  <c r="M694" i="7"/>
  <c r="M695" i="7"/>
  <c r="M702" i="7"/>
  <c r="M703" i="7"/>
  <c r="M704" i="7"/>
  <c r="M705" i="7"/>
  <c r="M712" i="7"/>
  <c r="M713" i="7"/>
  <c r="M714" i="7"/>
  <c r="M715" i="7"/>
  <c r="M722" i="7"/>
  <c r="M724" i="7"/>
  <c r="M725" i="7"/>
  <c r="M732" i="7"/>
  <c r="M733" i="7"/>
  <c r="M734" i="7"/>
  <c r="B5" i="7"/>
  <c r="M731" i="7"/>
  <c r="M730" i="7"/>
  <c r="M721" i="7"/>
  <c r="M718" i="7"/>
  <c r="M717" i="7"/>
  <c r="M716" i="7"/>
  <c r="M711" i="7"/>
  <c r="M706" i="7"/>
  <c r="M701" i="7"/>
  <c r="M699" i="7"/>
  <c r="M698" i="7"/>
  <c r="M691" i="7"/>
  <c r="M687" i="7"/>
  <c r="M686" i="7"/>
  <c r="M681" i="7"/>
  <c r="M680" i="7"/>
  <c r="M671" i="7"/>
  <c r="M668" i="7"/>
  <c r="M667" i="7"/>
  <c r="M666" i="7"/>
  <c r="M661" i="7"/>
  <c r="M656" i="7"/>
  <c r="M651" i="7"/>
  <c r="M649" i="7"/>
  <c r="M648" i="7"/>
  <c r="M641" i="7"/>
  <c r="M637" i="7"/>
  <c r="M636" i="7"/>
  <c r="M631" i="7"/>
  <c r="M630" i="7"/>
  <c r="M621" i="7"/>
  <c r="M618" i="7"/>
  <c r="M617" i="7"/>
  <c r="M616" i="7"/>
  <c r="M611" i="7"/>
  <c r="M606" i="7"/>
  <c r="M601" i="7"/>
  <c r="M599" i="7"/>
  <c r="M598" i="7"/>
  <c r="M591" i="7"/>
  <c r="M587" i="7"/>
  <c r="M586" i="7"/>
  <c r="M581" i="7"/>
  <c r="M580" i="7"/>
  <c r="M571" i="7"/>
  <c r="M568" i="7"/>
  <c r="M567" i="7"/>
  <c r="M566" i="7"/>
  <c r="M561" i="7"/>
  <c r="M556" i="7"/>
  <c r="M551" i="7"/>
  <c r="M549" i="7"/>
  <c r="M548" i="7"/>
  <c r="M541" i="7"/>
  <c r="M537" i="7"/>
  <c r="M536" i="7"/>
  <c r="M531" i="7"/>
  <c r="M530" i="7"/>
  <c r="M521" i="7"/>
  <c r="M518" i="7"/>
  <c r="M517" i="7"/>
  <c r="M516" i="7"/>
  <c r="M511" i="7"/>
  <c r="M506" i="7"/>
  <c r="M501" i="7"/>
  <c r="M499" i="7"/>
  <c r="M498" i="7"/>
  <c r="M491" i="7"/>
  <c r="M487" i="7"/>
  <c r="M486" i="7"/>
  <c r="M481" i="7"/>
  <c r="M480" i="7"/>
  <c r="M471" i="7"/>
  <c r="M468" i="7"/>
  <c r="M467" i="7"/>
  <c r="M466" i="7"/>
  <c r="M461" i="7"/>
  <c r="M456" i="7"/>
  <c r="M451" i="7"/>
  <c r="M449" i="7"/>
  <c r="M448" i="7"/>
  <c r="M441" i="7"/>
  <c r="M437" i="7"/>
  <c r="M436" i="7"/>
  <c r="M431" i="7"/>
  <c r="M430" i="7"/>
  <c r="M421" i="7"/>
  <c r="M418" i="7"/>
  <c r="M417" i="7"/>
  <c r="M416" i="7"/>
  <c r="M411" i="7"/>
  <c r="M406" i="7"/>
  <c r="M401" i="7"/>
  <c r="M399" i="7"/>
  <c r="M398" i="7"/>
  <c r="M391" i="7"/>
  <c r="M387" i="7"/>
  <c r="M386" i="7"/>
  <c r="M381" i="7"/>
  <c r="M380" i="7"/>
  <c r="M371" i="7"/>
  <c r="M370" i="7"/>
  <c r="M369" i="7"/>
  <c r="M368" i="7"/>
  <c r="M367" i="7"/>
  <c r="M366" i="7"/>
  <c r="M361" i="7"/>
  <c r="M360" i="7"/>
  <c r="M359" i="7"/>
  <c r="M358" i="7"/>
  <c r="M357" i="7"/>
  <c r="M356" i="7"/>
  <c r="M351" i="7"/>
  <c r="M350" i="7"/>
  <c r="M349" i="7"/>
  <c r="M348" i="7"/>
  <c r="M347" i="7"/>
  <c r="M346" i="7"/>
  <c r="M341" i="7"/>
  <c r="M340" i="7"/>
  <c r="M339" i="7"/>
  <c r="M338" i="7"/>
  <c r="M337" i="7"/>
  <c r="M336" i="7"/>
  <c r="M331" i="7"/>
  <c r="M330" i="7"/>
  <c r="M329" i="7"/>
  <c r="M328" i="7"/>
  <c r="M327" i="7"/>
  <c r="M326" i="7"/>
  <c r="M321" i="7"/>
  <c r="M320" i="7"/>
  <c r="M319" i="7"/>
  <c r="M318" i="7"/>
  <c r="M317" i="7"/>
  <c r="M316" i="7"/>
  <c r="M311" i="7"/>
  <c r="M310" i="7"/>
  <c r="M309" i="7"/>
  <c r="M308" i="7"/>
  <c r="M307" i="7"/>
  <c r="M306" i="7"/>
  <c r="M301" i="7"/>
  <c r="M300" i="7"/>
  <c r="M299" i="7"/>
  <c r="M298" i="7"/>
  <c r="M297" i="7"/>
  <c r="M296" i="7"/>
  <c r="M291" i="7"/>
  <c r="M290" i="7"/>
  <c r="M289" i="7"/>
  <c r="M288" i="7"/>
  <c r="M287" i="7"/>
  <c r="M286" i="7"/>
  <c r="M281" i="7"/>
  <c r="M280" i="7"/>
  <c r="M279" i="7"/>
  <c r="M278" i="7"/>
  <c r="M277" i="7"/>
  <c r="M276" i="7"/>
  <c r="M271" i="7"/>
  <c r="M270" i="7"/>
  <c r="M269" i="7"/>
  <c r="M268" i="7"/>
  <c r="M267" i="7"/>
  <c r="M266" i="7"/>
  <c r="M261" i="7"/>
  <c r="M260" i="7"/>
  <c r="M259" i="7"/>
  <c r="M258" i="7"/>
  <c r="M257" i="7"/>
  <c r="M256" i="7"/>
  <c r="M251" i="7"/>
  <c r="M250" i="7"/>
  <c r="M249" i="7"/>
  <c r="M248" i="7"/>
  <c r="M247" i="7"/>
  <c r="M246" i="7"/>
  <c r="M241" i="7"/>
  <c r="M240" i="7"/>
  <c r="M239" i="7"/>
  <c r="M238" i="7"/>
  <c r="M237" i="7"/>
  <c r="M236" i="7"/>
  <c r="M231" i="7"/>
  <c r="M230" i="7"/>
  <c r="M229" i="7"/>
  <c r="M228" i="7"/>
  <c r="M227" i="7"/>
  <c r="M226" i="7"/>
  <c r="M221" i="7"/>
  <c r="M220" i="7"/>
  <c r="M219" i="7"/>
  <c r="M218" i="7"/>
  <c r="M217" i="7"/>
  <c r="M216" i="7"/>
  <c r="M211" i="7"/>
  <c r="M210" i="7"/>
  <c r="M209" i="7"/>
  <c r="M208" i="7"/>
  <c r="M207" i="7"/>
  <c r="M206" i="7"/>
  <c r="M201" i="7"/>
  <c r="M200" i="7"/>
  <c r="M199" i="7"/>
  <c r="M198" i="7"/>
  <c r="M197" i="7"/>
  <c r="M196" i="7"/>
  <c r="M191" i="7"/>
  <c r="M190" i="7"/>
  <c r="M189" i="7"/>
  <c r="M188" i="7"/>
  <c r="M187" i="7"/>
  <c r="M186" i="7"/>
  <c r="M181" i="7"/>
  <c r="M180" i="7"/>
  <c r="M179" i="7"/>
  <c r="M178" i="7"/>
  <c r="M177" i="7"/>
  <c r="M176" i="7"/>
  <c r="M171" i="7"/>
  <c r="M170" i="7"/>
  <c r="M169" i="7"/>
  <c r="M168" i="7"/>
  <c r="M167" i="7"/>
  <c r="M166" i="7"/>
  <c r="M161" i="7"/>
  <c r="M160" i="7"/>
  <c r="M159" i="7"/>
  <c r="M158" i="7"/>
  <c r="M157" i="7"/>
  <c r="M156" i="7"/>
  <c r="M151" i="7"/>
  <c r="M150" i="7"/>
  <c r="M149" i="7"/>
  <c r="M148" i="7"/>
  <c r="M147" i="7"/>
  <c r="M146" i="7"/>
  <c r="M141" i="7"/>
  <c r="M140" i="7"/>
  <c r="M139" i="7"/>
  <c r="M138" i="7"/>
  <c r="M137" i="7"/>
  <c r="M136" i="7"/>
  <c r="M131" i="7"/>
  <c r="M130" i="7"/>
  <c r="M129" i="7"/>
  <c r="M128" i="7"/>
  <c r="M127" i="7"/>
  <c r="M126" i="7"/>
  <c r="M121" i="7"/>
  <c r="M120" i="7"/>
  <c r="M119" i="7"/>
  <c r="M118" i="7"/>
  <c r="M117" i="7"/>
  <c r="M116" i="7"/>
  <c r="M111" i="7"/>
  <c r="M110" i="7"/>
  <c r="M109" i="7"/>
  <c r="M108" i="7"/>
  <c r="M107" i="7"/>
  <c r="M106" i="7"/>
  <c r="M101" i="7"/>
  <c r="M100" i="7"/>
  <c r="M99" i="7"/>
  <c r="M98" i="7"/>
  <c r="M97" i="7"/>
  <c r="M96" i="7"/>
  <c r="M91" i="7"/>
  <c r="M90" i="7"/>
  <c r="M89" i="7"/>
  <c r="M88" i="7"/>
  <c r="M87" i="7"/>
  <c r="M86" i="7"/>
  <c r="M81" i="7"/>
  <c r="M80" i="7"/>
  <c r="M79" i="7"/>
  <c r="M78" i="7"/>
  <c r="M77" i="7"/>
  <c r="M76" i="7"/>
  <c r="M71" i="7"/>
  <c r="M70" i="7"/>
  <c r="M69" i="7"/>
  <c r="M68" i="7"/>
  <c r="M67" i="7"/>
  <c r="M66" i="7"/>
  <c r="M61" i="7"/>
  <c r="M60" i="7"/>
  <c r="M59" i="7"/>
  <c r="M58" i="7"/>
  <c r="M57" i="7"/>
  <c r="M56" i="7"/>
  <c r="M51" i="7"/>
  <c r="M50" i="7"/>
  <c r="M49" i="7"/>
  <c r="M48" i="7"/>
  <c r="M47" i="7"/>
  <c r="M46" i="7"/>
  <c r="M41" i="7"/>
  <c r="M40" i="7"/>
  <c r="M39" i="7"/>
  <c r="M38" i="7"/>
  <c r="M37" i="7"/>
  <c r="M36" i="7"/>
  <c r="M31" i="7"/>
  <c r="M30" i="7"/>
  <c r="M29" i="7"/>
  <c r="M28" i="7"/>
  <c r="M27" i="7"/>
  <c r="M26" i="7"/>
  <c r="M21" i="7"/>
  <c r="M20" i="7"/>
  <c r="M19" i="7"/>
  <c r="M18" i="7"/>
  <c r="M17" i="7"/>
  <c r="M16" i="7"/>
  <c r="M11" i="7"/>
  <c r="M10" i="7"/>
  <c r="M9" i="7"/>
  <c r="M8" i="7"/>
  <c r="M7" i="7"/>
  <c r="M6" i="7"/>
  <c r="M5" i="7"/>
  <c r="F3" i="7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3" i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3" i="3"/>
  <c r="I17" i="4" a="1"/>
  <c r="I17" i="4" s="1"/>
  <c r="I16" i="4" a="1"/>
  <c r="I16" i="4" s="1"/>
  <c r="E726" i="4"/>
  <c r="E725" i="4"/>
  <c r="E724" i="4"/>
  <c r="E723" i="4"/>
  <c r="E709" i="4"/>
  <c r="E707" i="4"/>
  <c r="E706" i="4"/>
  <c r="E705" i="4"/>
  <c r="E694" i="4"/>
  <c r="E693" i="4"/>
  <c r="E689" i="4"/>
  <c r="E687" i="4"/>
  <c r="E677" i="4"/>
  <c r="E676" i="4"/>
  <c r="E675" i="4"/>
  <c r="E674" i="4"/>
  <c r="E664" i="4"/>
  <c r="E663" i="4"/>
  <c r="E659" i="4"/>
  <c r="E658" i="4"/>
  <c r="E648" i="4"/>
  <c r="E647" i="4"/>
  <c r="E646" i="4"/>
  <c r="E645" i="4"/>
  <c r="E635" i="4"/>
  <c r="E634" i="4"/>
  <c r="E633" i="4"/>
  <c r="E629" i="4"/>
  <c r="E619" i="4"/>
  <c r="E618" i="4"/>
  <c r="E617" i="4"/>
  <c r="E616" i="4"/>
  <c r="E606" i="4"/>
  <c r="E605" i="4"/>
  <c r="E604" i="4"/>
  <c r="E603" i="4"/>
  <c r="E594" i="4"/>
  <c r="E593" i="4"/>
  <c r="E590" i="4"/>
  <c r="E589" i="4"/>
  <c r="E580" i="4"/>
  <c r="E579" i="4"/>
  <c r="E578" i="4"/>
  <c r="E577" i="4"/>
  <c r="E568" i="4"/>
  <c r="E567" i="4"/>
  <c r="E566" i="4"/>
  <c r="E565" i="4"/>
  <c r="E556" i="4"/>
  <c r="E555" i="4"/>
  <c r="E554" i="4"/>
  <c r="E553" i="4"/>
  <c r="E544" i="4"/>
  <c r="E543" i="4"/>
  <c r="E540" i="4"/>
  <c r="E539" i="4"/>
  <c r="E530" i="4"/>
  <c r="E529" i="4"/>
  <c r="E528" i="4"/>
  <c r="E527" i="4"/>
  <c r="E518" i="4"/>
  <c r="E517" i="4"/>
  <c r="E516" i="4"/>
  <c r="E515" i="4"/>
  <c r="E506" i="4"/>
  <c r="E505" i="4"/>
  <c r="E504" i="4"/>
  <c r="E503" i="4"/>
  <c r="E494" i="4"/>
  <c r="E493" i="4"/>
  <c r="E490" i="4"/>
  <c r="E489" i="4"/>
  <c r="E480" i="4"/>
  <c r="E479" i="4"/>
  <c r="E478" i="4"/>
  <c r="E477" i="4"/>
  <c r="E468" i="4"/>
  <c r="E467" i="4"/>
  <c r="E466" i="4"/>
  <c r="E465" i="4"/>
  <c r="E456" i="4"/>
  <c r="E455" i="4"/>
  <c r="E454" i="4"/>
  <c r="E453" i="4"/>
  <c r="E444" i="4"/>
  <c r="E443" i="4"/>
  <c r="E440" i="4"/>
  <c r="E439" i="4"/>
  <c r="E430" i="4"/>
  <c r="E429" i="4"/>
  <c r="E428" i="4"/>
  <c r="E427" i="4"/>
  <c r="E418" i="4"/>
  <c r="E417" i="4"/>
  <c r="E416" i="4"/>
  <c r="E415" i="4"/>
  <c r="E406" i="4"/>
  <c r="E405" i="4"/>
  <c r="E404" i="4"/>
  <c r="E403" i="4"/>
  <c r="E394" i="4"/>
  <c r="E393" i="4"/>
  <c r="E390" i="4"/>
  <c r="E389" i="4"/>
  <c r="E380" i="4"/>
  <c r="E379" i="4"/>
  <c r="E378" i="4"/>
  <c r="E377" i="4"/>
  <c r="E368" i="4"/>
  <c r="E367" i="4"/>
  <c r="E366" i="4"/>
  <c r="E365" i="4"/>
  <c r="E356" i="4"/>
  <c r="E355" i="4"/>
  <c r="E354" i="4"/>
  <c r="E353" i="4"/>
  <c r="E344" i="4"/>
  <c r="E343" i="4"/>
  <c r="E340" i="4"/>
  <c r="E339" i="4"/>
  <c r="E336" i="4"/>
  <c r="E330" i="4"/>
  <c r="E329" i="4"/>
  <c r="E328" i="4"/>
  <c r="E327" i="4"/>
  <c r="E324" i="4"/>
  <c r="E318" i="4"/>
  <c r="E317" i="4"/>
  <c r="E316" i="4"/>
  <c r="E315" i="4"/>
  <c r="E310" i="4"/>
  <c r="E306" i="4"/>
  <c r="E305" i="4"/>
  <c r="E304" i="4"/>
  <c r="E303" i="4"/>
  <c r="E298" i="4"/>
  <c r="E294" i="4"/>
  <c r="E293" i="4"/>
  <c r="E290" i="4"/>
  <c r="E289" i="4"/>
  <c r="E286" i="4"/>
  <c r="E280" i="4"/>
  <c r="E279" i="4"/>
  <c r="E278" i="4"/>
  <c r="E277" i="4"/>
  <c r="E274" i="4"/>
  <c r="E268" i="4"/>
  <c r="E267" i="4"/>
  <c r="E266" i="4"/>
  <c r="E265" i="4"/>
  <c r="E260" i="4"/>
  <c r="E256" i="4"/>
  <c r="E255" i="4"/>
  <c r="E254" i="4"/>
  <c r="E253" i="4"/>
  <c r="E248" i="4"/>
  <c r="E244" i="4"/>
  <c r="E243" i="4"/>
  <c r="E240" i="4"/>
  <c r="E239" i="4"/>
  <c r="E236" i="4"/>
  <c r="E230" i="4"/>
  <c r="E229" i="4"/>
  <c r="E228" i="4"/>
  <c r="E227" i="4"/>
  <c r="E224" i="4"/>
  <c r="E218" i="4"/>
  <c r="E217" i="4"/>
  <c r="E216" i="4"/>
  <c r="E215" i="4"/>
  <c r="E210" i="4"/>
  <c r="E207" i="4"/>
  <c r="E206" i="4"/>
  <c r="E205" i="4"/>
  <c r="E204" i="4"/>
  <c r="E203" i="4"/>
  <c r="E198" i="4"/>
  <c r="E195" i="4"/>
  <c r="E194" i="4"/>
  <c r="E193" i="4"/>
  <c r="E190" i="4"/>
  <c r="E189" i="4"/>
  <c r="E186" i="4"/>
  <c r="E183" i="4"/>
  <c r="E180" i="4"/>
  <c r="E179" i="4"/>
  <c r="E178" i="4"/>
  <c r="E177" i="4"/>
  <c r="E174" i="4"/>
  <c r="E169" i="4"/>
  <c r="E168" i="4"/>
  <c r="E167" i="4"/>
  <c r="E166" i="4"/>
  <c r="E165" i="4"/>
  <c r="E160" i="4"/>
  <c r="E157" i="4"/>
  <c r="E156" i="4"/>
  <c r="E155" i="4"/>
  <c r="E154" i="4"/>
  <c r="E153" i="4"/>
  <c r="E148" i="4"/>
  <c r="E145" i="4"/>
  <c r="E144" i="4"/>
  <c r="E143" i="4"/>
  <c r="E140" i="4"/>
  <c r="E139" i="4"/>
  <c r="E136" i="4"/>
  <c r="E133" i="4"/>
  <c r="E130" i="4"/>
  <c r="E129" i="4"/>
  <c r="E128" i="4"/>
  <c r="E127" i="4"/>
  <c r="E124" i="4"/>
  <c r="E119" i="4"/>
  <c r="E118" i="4"/>
  <c r="E117" i="4"/>
  <c r="E116" i="4"/>
  <c r="E115" i="4"/>
  <c r="E110" i="4"/>
  <c r="E107" i="4"/>
  <c r="E106" i="4"/>
  <c r="E105" i="4"/>
  <c r="E104" i="4"/>
  <c r="E103" i="4"/>
  <c r="E98" i="4"/>
  <c r="E95" i="4"/>
  <c r="E94" i="4"/>
  <c r="E93" i="4"/>
  <c r="E90" i="4"/>
  <c r="E89" i="4"/>
  <c r="E86" i="4"/>
  <c r="E83" i="4"/>
  <c r="E80" i="4"/>
  <c r="E79" i="4"/>
  <c r="E78" i="4"/>
  <c r="E77" i="4"/>
  <c r="E74" i="4"/>
  <c r="E69" i="4"/>
  <c r="E68" i="4"/>
  <c r="E67" i="4"/>
  <c r="E66" i="4"/>
  <c r="E65" i="4"/>
  <c r="E60" i="4"/>
  <c r="E57" i="4"/>
  <c r="E56" i="4"/>
  <c r="E55" i="4"/>
  <c r="E54" i="4"/>
  <c r="E53" i="4"/>
  <c r="E48" i="4"/>
  <c r="E45" i="4"/>
  <c r="E44" i="4"/>
  <c r="E43" i="4"/>
  <c r="E40" i="4"/>
  <c r="E39" i="4"/>
  <c r="E36" i="4"/>
  <c r="E33" i="4"/>
  <c r="E30" i="4"/>
  <c r="E29" i="4"/>
  <c r="E28" i="4"/>
  <c r="E27" i="4"/>
  <c r="E24" i="4"/>
  <c r="E19" i="4"/>
  <c r="E18" i="4"/>
  <c r="E17" i="4"/>
  <c r="E16" i="4"/>
  <c r="E15" i="4"/>
  <c r="E14" i="4"/>
  <c r="E10" i="4"/>
  <c r="E7" i="4"/>
  <c r="E6" i="4"/>
  <c r="E5" i="4"/>
  <c r="E4" i="4"/>
  <c r="E3" i="4"/>
  <c r="D31" i="6"/>
  <c r="D29" i="6"/>
  <c r="L3" i="7"/>
  <c r="H3" i="7"/>
  <c r="K2" i="7"/>
  <c r="G64" i="6" s="1"/>
  <c r="L2" i="7"/>
  <c r="G63" i="6" s="1"/>
  <c r="H2" i="7"/>
  <c r="D3" i="7"/>
  <c r="F2" i="7"/>
  <c r="D2" i="7"/>
  <c r="D91" i="6"/>
  <c r="D90" i="6"/>
  <c r="D89" i="6"/>
  <c r="D88" i="6"/>
  <c r="E2" i="7" l="1"/>
  <c r="I3" i="7"/>
  <c r="B3" i="7"/>
  <c r="B2" i="7"/>
  <c r="K88" i="6" s="1"/>
  <c r="M3" i="7"/>
  <c r="E715" i="4"/>
  <c r="E697" i="4"/>
  <c r="E683" i="4"/>
  <c r="E667" i="4"/>
  <c r="E654" i="4"/>
  <c r="E638" i="4"/>
  <c r="E625" i="4"/>
  <c r="E609" i="4"/>
  <c r="E597" i="4"/>
  <c r="E585" i="4"/>
  <c r="E573" i="4"/>
  <c r="E559" i="4"/>
  <c r="E547" i="4"/>
  <c r="E535" i="4"/>
  <c r="E523" i="4"/>
  <c r="E509" i="4"/>
  <c r="E497" i="4"/>
  <c r="E485" i="4"/>
  <c r="E473" i="4"/>
  <c r="E459" i="4"/>
  <c r="E447" i="4"/>
  <c r="E435" i="4"/>
  <c r="E423" i="4"/>
  <c r="E409" i="4"/>
  <c r="E397" i="4"/>
  <c r="E385" i="4"/>
  <c r="E373" i="4"/>
  <c r="E359" i="4"/>
  <c r="E347" i="4"/>
  <c r="E335" i="4"/>
  <c r="E323" i="4"/>
  <c r="E309" i="4"/>
  <c r="E297" i="4"/>
  <c r="E285" i="4"/>
  <c r="E273" i="4"/>
  <c r="E259" i="4"/>
  <c r="E247" i="4"/>
  <c r="E235" i="4"/>
  <c r="E223" i="4"/>
  <c r="E209" i="4"/>
  <c r="E197" i="4"/>
  <c r="E185" i="4"/>
  <c r="E173" i="4"/>
  <c r="E159" i="4"/>
  <c r="E147" i="4"/>
  <c r="E135" i="4"/>
  <c r="E123" i="4"/>
  <c r="E109" i="4"/>
  <c r="E97" i="4"/>
  <c r="E85" i="4"/>
  <c r="E73" i="4"/>
  <c r="E59" i="4"/>
  <c r="E47" i="4"/>
  <c r="E35" i="4"/>
  <c r="E23" i="4"/>
  <c r="E9" i="4"/>
  <c r="E713" i="4"/>
  <c r="E695" i="4"/>
  <c r="E678" i="4"/>
  <c r="E665" i="4"/>
  <c r="E636" i="4"/>
  <c r="E607" i="4"/>
  <c r="E583" i="4"/>
  <c r="E569" i="4"/>
  <c r="E545" i="4"/>
  <c r="E519" i="4"/>
  <c r="E495" i="4"/>
  <c r="E469" i="4"/>
  <c r="E445" i="4"/>
  <c r="E419" i="4"/>
  <c r="E383" i="4"/>
  <c r="E357" i="4"/>
  <c r="E319" i="4"/>
  <c r="E295" i="4"/>
  <c r="E269" i="4"/>
  <c r="E245" i="4"/>
  <c r="E714" i="4"/>
  <c r="E696" i="4"/>
  <c r="E679" i="4"/>
  <c r="E666" i="4"/>
  <c r="E653" i="4"/>
  <c r="E637" i="4"/>
  <c r="E624" i="4"/>
  <c r="E608" i="4"/>
  <c r="E596" i="4"/>
  <c r="E584" i="4"/>
  <c r="E570" i="4"/>
  <c r="E558" i="4"/>
  <c r="E546" i="4"/>
  <c r="E534" i="4"/>
  <c r="E520" i="4"/>
  <c r="E508" i="4"/>
  <c r="E496" i="4"/>
  <c r="E484" i="4"/>
  <c r="E470" i="4"/>
  <c r="E458" i="4"/>
  <c r="E446" i="4"/>
  <c r="E434" i="4"/>
  <c r="E420" i="4"/>
  <c r="E408" i="4"/>
  <c r="E396" i="4"/>
  <c r="E384" i="4"/>
  <c r="E370" i="4"/>
  <c r="E358" i="4"/>
  <c r="E346" i="4"/>
  <c r="E334" i="4"/>
  <c r="E320" i="4"/>
  <c r="E308" i="4"/>
  <c r="E296" i="4"/>
  <c r="E284" i="4"/>
  <c r="E270" i="4"/>
  <c r="E258" i="4"/>
  <c r="E246" i="4"/>
  <c r="E234" i="4"/>
  <c r="E220" i="4"/>
  <c r="E208" i="4"/>
  <c r="E196" i="4"/>
  <c r="E184" i="4"/>
  <c r="E170" i="4"/>
  <c r="E158" i="4"/>
  <c r="E146" i="4"/>
  <c r="E134" i="4"/>
  <c r="E120" i="4"/>
  <c r="E108" i="4"/>
  <c r="E96" i="4"/>
  <c r="E84" i="4"/>
  <c r="E70" i="4"/>
  <c r="E58" i="4"/>
  <c r="E46" i="4"/>
  <c r="E34" i="4"/>
  <c r="E20" i="4"/>
  <c r="E8" i="4"/>
  <c r="E727" i="4"/>
  <c r="E649" i="4"/>
  <c r="E623" i="4"/>
  <c r="E595" i="4"/>
  <c r="E557" i="4"/>
  <c r="E533" i="4"/>
  <c r="E507" i="4"/>
  <c r="E483" i="4"/>
  <c r="E457" i="4"/>
  <c r="E433" i="4"/>
  <c r="E407" i="4"/>
  <c r="E395" i="4"/>
  <c r="E369" i="4"/>
  <c r="E345" i="4"/>
  <c r="E333" i="4"/>
  <c r="E307" i="4"/>
  <c r="E283" i="4"/>
  <c r="E257" i="4"/>
  <c r="E233" i="4"/>
  <c r="E219" i="4"/>
  <c r="E719" i="4"/>
  <c r="E704" i="4"/>
  <c r="E686" i="4"/>
  <c r="E673" i="4"/>
  <c r="E657" i="4"/>
  <c r="E644" i="4"/>
  <c r="E628" i="4"/>
  <c r="E615" i="4"/>
  <c r="E600" i="4"/>
  <c r="E588" i="4"/>
  <c r="E576" i="4"/>
  <c r="E564" i="4"/>
  <c r="E550" i="4"/>
  <c r="E538" i="4"/>
  <c r="E526" i="4"/>
  <c r="E514" i="4"/>
  <c r="E500" i="4"/>
  <c r="E488" i="4"/>
  <c r="E476" i="4"/>
  <c r="E464" i="4"/>
  <c r="E450" i="4"/>
  <c r="E438" i="4"/>
  <c r="E426" i="4"/>
  <c r="E414" i="4"/>
  <c r="E400" i="4"/>
  <c r="E388" i="4"/>
  <c r="E376" i="4"/>
  <c r="E364" i="4"/>
  <c r="E350" i="4"/>
  <c r="E338" i="4"/>
  <c r="E326" i="4"/>
  <c r="E314" i="4"/>
  <c r="E300" i="4"/>
  <c r="E288" i="4"/>
  <c r="E276" i="4"/>
  <c r="E264" i="4"/>
  <c r="E250" i="4"/>
  <c r="E238" i="4"/>
  <c r="E226" i="4"/>
  <c r="E214" i="4"/>
  <c r="E200" i="4"/>
  <c r="E188" i="4"/>
  <c r="E176" i="4"/>
  <c r="E164" i="4"/>
  <c r="E150" i="4"/>
  <c r="E138" i="4"/>
  <c r="E126" i="4"/>
  <c r="E114" i="4"/>
  <c r="E100" i="4"/>
  <c r="E88" i="4"/>
  <c r="E76" i="4"/>
  <c r="E64" i="4"/>
  <c r="E50" i="4"/>
  <c r="E38" i="4"/>
  <c r="E26" i="4"/>
  <c r="E717" i="4"/>
  <c r="E703" i="4"/>
  <c r="E685" i="4"/>
  <c r="E669" i="4"/>
  <c r="E656" i="4"/>
  <c r="E643" i="4"/>
  <c r="E627" i="4"/>
  <c r="E614" i="4"/>
  <c r="E599" i="4"/>
  <c r="E587" i="4"/>
  <c r="E575" i="4"/>
  <c r="E563" i="4"/>
  <c r="E549" i="4"/>
  <c r="E537" i="4"/>
  <c r="E525" i="4"/>
  <c r="E513" i="4"/>
  <c r="E499" i="4"/>
  <c r="E487" i="4"/>
  <c r="E475" i="4"/>
  <c r="E463" i="4"/>
  <c r="E449" i="4"/>
  <c r="E437" i="4"/>
  <c r="E425" i="4"/>
  <c r="E413" i="4"/>
  <c r="E399" i="4"/>
  <c r="E387" i="4"/>
  <c r="E375" i="4"/>
  <c r="E363" i="4"/>
  <c r="E349" i="4"/>
  <c r="E337" i="4"/>
  <c r="E325" i="4"/>
  <c r="E313" i="4"/>
  <c r="E299" i="4"/>
  <c r="E287" i="4"/>
  <c r="E275" i="4"/>
  <c r="E263" i="4"/>
  <c r="E249" i="4"/>
  <c r="E237" i="4"/>
  <c r="E225" i="4"/>
  <c r="E213" i="4"/>
  <c r="E199" i="4"/>
  <c r="E187" i="4"/>
  <c r="E175" i="4"/>
  <c r="E163" i="4"/>
  <c r="E149" i="4"/>
  <c r="E137" i="4"/>
  <c r="E125" i="4"/>
  <c r="E113" i="4"/>
  <c r="E99" i="4"/>
  <c r="E87" i="4"/>
  <c r="E75" i="4"/>
  <c r="E63" i="4"/>
  <c r="E49" i="4"/>
  <c r="E37" i="4"/>
  <c r="E25" i="4"/>
  <c r="E13" i="4"/>
  <c r="E716" i="4"/>
  <c r="E699" i="4"/>
  <c r="E684" i="4"/>
  <c r="E668" i="4"/>
  <c r="E655" i="4"/>
  <c r="E639" i="4"/>
  <c r="E626" i="4"/>
  <c r="E613" i="4"/>
  <c r="E598" i="4"/>
  <c r="E586" i="4"/>
  <c r="E574" i="4"/>
  <c r="E560" i="4"/>
  <c r="E548" i="4"/>
  <c r="E536" i="4"/>
  <c r="E524" i="4"/>
  <c r="E510" i="4"/>
  <c r="E498" i="4"/>
  <c r="E486" i="4"/>
  <c r="E474" i="4"/>
  <c r="E460" i="4"/>
  <c r="E448" i="4"/>
  <c r="E436" i="4"/>
  <c r="E424" i="4"/>
  <c r="E410" i="4"/>
  <c r="E398" i="4"/>
  <c r="E386" i="4"/>
  <c r="E374" i="4"/>
  <c r="E360" i="4"/>
  <c r="E348" i="4"/>
  <c r="E722" i="4"/>
  <c r="E712" i="4"/>
  <c r="E702" i="4"/>
  <c r="E692" i="4"/>
  <c r="E682" i="4"/>
  <c r="E672" i="4"/>
  <c r="E662" i="4"/>
  <c r="E652" i="4"/>
  <c r="E642" i="4"/>
  <c r="E632" i="4"/>
  <c r="E622" i="4"/>
  <c r="E612" i="4"/>
  <c r="E602" i="4"/>
  <c r="E592" i="4"/>
  <c r="E582" i="4"/>
  <c r="E572" i="4"/>
  <c r="E562" i="4"/>
  <c r="E552" i="4"/>
  <c r="E542" i="4"/>
  <c r="E532" i="4"/>
  <c r="E522" i="4"/>
  <c r="E512" i="4"/>
  <c r="E502" i="4"/>
  <c r="E492" i="4"/>
  <c r="E482" i="4"/>
  <c r="E472" i="4"/>
  <c r="E462" i="4"/>
  <c r="E452" i="4"/>
  <c r="E442" i="4"/>
  <c r="E432" i="4"/>
  <c r="E422" i="4"/>
  <c r="E412" i="4"/>
  <c r="E402" i="4"/>
  <c r="E392" i="4"/>
  <c r="E382" i="4"/>
  <c r="E372" i="4"/>
  <c r="E362" i="4"/>
  <c r="E352" i="4"/>
  <c r="E342" i="4"/>
  <c r="E332" i="4"/>
  <c r="E322" i="4"/>
  <c r="E312" i="4"/>
  <c r="E302" i="4"/>
  <c r="E292" i="4"/>
  <c r="E282" i="4"/>
  <c r="E272" i="4"/>
  <c r="E262" i="4"/>
  <c r="E252" i="4"/>
  <c r="E242" i="4"/>
  <c r="E232" i="4"/>
  <c r="E222" i="4"/>
  <c r="E212" i="4"/>
  <c r="E202" i="4"/>
  <c r="E192" i="4"/>
  <c r="E182" i="4"/>
  <c r="E172" i="4"/>
  <c r="E162" i="4"/>
  <c r="E152" i="4"/>
  <c r="E142" i="4"/>
  <c r="E132" i="4"/>
  <c r="E122" i="4"/>
  <c r="E112" i="4"/>
  <c r="E102" i="4"/>
  <c r="E92" i="4"/>
  <c r="E82" i="4"/>
  <c r="E72" i="4"/>
  <c r="E62" i="4"/>
  <c r="E52" i="4"/>
  <c r="E42" i="4"/>
  <c r="E32" i="4"/>
  <c r="E22" i="4"/>
  <c r="E12" i="4"/>
  <c r="E2" i="4"/>
  <c r="E710" i="4"/>
  <c r="E700" i="4"/>
  <c r="E690" i="4"/>
  <c r="E680" i="4"/>
  <c r="E670" i="4"/>
  <c r="E660" i="4"/>
  <c r="E650" i="4"/>
  <c r="E640" i="4"/>
  <c r="E630" i="4"/>
  <c r="E620" i="4"/>
  <c r="E610" i="4"/>
  <c r="E731" i="4"/>
  <c r="E721" i="4"/>
  <c r="E711" i="4"/>
  <c r="E701" i="4"/>
  <c r="E691" i="4"/>
  <c r="E681" i="4"/>
  <c r="E671" i="4"/>
  <c r="E661" i="4"/>
  <c r="E651" i="4"/>
  <c r="E641" i="4"/>
  <c r="E631" i="4"/>
  <c r="E621" i="4"/>
  <c r="E611" i="4"/>
  <c r="E601" i="4"/>
  <c r="E591" i="4"/>
  <c r="E581" i="4"/>
  <c r="E571" i="4"/>
  <c r="E561" i="4"/>
  <c r="E551" i="4"/>
  <c r="E541" i="4"/>
  <c r="E531" i="4"/>
  <c r="E521" i="4"/>
  <c r="E511" i="4"/>
  <c r="E501" i="4"/>
  <c r="E491" i="4"/>
  <c r="E481" i="4"/>
  <c r="E471" i="4"/>
  <c r="E461" i="4"/>
  <c r="E451" i="4"/>
  <c r="E441" i="4"/>
  <c r="E431" i="4"/>
  <c r="E421" i="4"/>
  <c r="E411" i="4"/>
  <c r="E401" i="4"/>
  <c r="E391" i="4"/>
  <c r="E381" i="4"/>
  <c r="E371" i="4"/>
  <c r="E361" i="4"/>
  <c r="E351" i="4"/>
  <c r="E341" i="4"/>
  <c r="E331" i="4"/>
  <c r="E321" i="4"/>
  <c r="E311" i="4"/>
  <c r="E301" i="4"/>
  <c r="E291" i="4"/>
  <c r="E281" i="4"/>
  <c r="E271" i="4"/>
  <c r="E261" i="4"/>
  <c r="E251" i="4"/>
  <c r="E241" i="4"/>
  <c r="E231" i="4"/>
  <c r="E221" i="4"/>
  <c r="E211" i="4"/>
  <c r="E201" i="4"/>
  <c r="E191" i="4"/>
  <c r="E181" i="4"/>
  <c r="E171" i="4"/>
  <c r="E161" i="4"/>
  <c r="E151" i="4"/>
  <c r="E141" i="4"/>
  <c r="E131" i="4"/>
  <c r="E121" i="4"/>
  <c r="E111" i="4"/>
  <c r="E101" i="4"/>
  <c r="E91" i="4"/>
  <c r="E81" i="4"/>
  <c r="E71" i="4"/>
  <c r="E61" i="4"/>
  <c r="E51" i="4"/>
  <c r="E41" i="4"/>
  <c r="E31" i="4"/>
  <c r="E21" i="4"/>
  <c r="E11" i="4"/>
  <c r="E720" i="4"/>
  <c r="E730" i="4"/>
  <c r="E729" i="4"/>
  <c r="E728" i="4"/>
  <c r="E718" i="4"/>
  <c r="E708" i="4"/>
  <c r="E698" i="4"/>
  <c r="E688" i="4"/>
  <c r="F54" i="6"/>
  <c r="G54" i="6" s="1"/>
  <c r="F55" i="6"/>
  <c r="G55" i="6" s="1"/>
  <c r="F53" i="6"/>
  <c r="G53" i="6" s="1"/>
  <c r="F52" i="6"/>
  <c r="G52" i="6" s="1"/>
  <c r="I52" i="6"/>
  <c r="I53" i="6"/>
  <c r="I54" i="6"/>
  <c r="I55" i="6"/>
  <c r="F27" i="6"/>
  <c r="F32" i="6" s="1"/>
  <c r="F33" i="6" s="1"/>
  <c r="C96" i="6" s="1"/>
  <c r="K91" i="6"/>
  <c r="K90" i="6"/>
  <c r="K89" i="6"/>
  <c r="I91" i="6" l="1"/>
  <c r="J91" i="6" s="1"/>
  <c r="O91" i="6" s="1"/>
  <c r="D43" i="6"/>
  <c r="D64" i="6" s="1"/>
  <c r="D42" i="6"/>
  <c r="D41" i="6"/>
  <c r="D52" i="6" l="1"/>
  <c r="C54" i="6"/>
  <c r="C63" i="6"/>
  <c r="D54" i="6"/>
  <c r="C55" i="6"/>
  <c r="C64" i="6"/>
  <c r="E64" i="6" s="1"/>
  <c r="C52" i="6"/>
  <c r="C62" i="6"/>
  <c r="E62" i="6" s="1"/>
  <c r="C61" i="6"/>
  <c r="E61" i="6" s="1"/>
  <c r="D53" i="6"/>
  <c r="C53" i="6"/>
  <c r="D55" i="6"/>
  <c r="D62" i="6"/>
  <c r="D63" i="6"/>
  <c r="D61" i="6"/>
  <c r="E88" i="6"/>
  <c r="F91" i="6"/>
  <c r="E91" i="6"/>
  <c r="F88" i="6"/>
  <c r="L88" i="6" s="1"/>
  <c r="E89" i="6"/>
  <c r="F90" i="6"/>
  <c r="E90" i="6"/>
  <c r="F89" i="6"/>
  <c r="H3" i="5"/>
  <c r="H4" i="5"/>
  <c r="H5" i="5"/>
  <c r="H6" i="5"/>
  <c r="H7" i="5"/>
  <c r="P30" i="5" s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P31" i="5" s="1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P32" i="5" s="1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P33" i="5" s="1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P34" i="5" s="1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2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294" i="5"/>
  <c r="F222" i="5"/>
  <c r="F223" i="5"/>
  <c r="F224" i="5"/>
  <c r="F225" i="5"/>
  <c r="F226" i="5"/>
  <c r="F227" i="5"/>
  <c r="F228" i="5"/>
  <c r="F229" i="5"/>
  <c r="F230" i="5"/>
  <c r="F231" i="5"/>
  <c r="P28" i="5" s="1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21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148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P26" i="5" s="1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75" i="5"/>
  <c r="F3" i="5"/>
  <c r="F4" i="5"/>
  <c r="F5" i="5"/>
  <c r="F6" i="5"/>
  <c r="F7" i="5"/>
  <c r="F8" i="5"/>
  <c r="F9" i="5"/>
  <c r="F10" i="5"/>
  <c r="F11" i="5"/>
  <c r="F12" i="5"/>
  <c r="P25" i="5" s="1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2" i="5"/>
  <c r="P27" i="5"/>
  <c r="P29" i="5"/>
  <c r="N2" i="5"/>
  <c r="E63" i="6" l="1"/>
  <c r="F62" i="6"/>
  <c r="H62" i="6" s="1"/>
  <c r="F64" i="6"/>
  <c r="H64" i="6" s="1"/>
  <c r="F63" i="6"/>
  <c r="H63" i="6" s="1"/>
  <c r="F61" i="6"/>
  <c r="H61" i="6" s="1"/>
  <c r="G88" i="6"/>
  <c r="M88" i="6"/>
  <c r="N88" i="6" s="1"/>
  <c r="G89" i="6"/>
  <c r="L89" i="6"/>
  <c r="M89" i="6" s="1"/>
  <c r="N89" i="6" s="1"/>
  <c r="G91" i="6"/>
  <c r="L91" i="6"/>
  <c r="M91" i="6" s="1"/>
  <c r="N91" i="6" s="1"/>
  <c r="P91" i="6" s="1"/>
  <c r="Q91" i="6" s="1"/>
  <c r="L90" i="6"/>
  <c r="M90" i="6" s="1"/>
  <c r="N90" i="6" s="1"/>
  <c r="G90" i="6"/>
  <c r="E54" i="6"/>
  <c r="H54" i="6" s="1"/>
  <c r="J54" i="6" s="1"/>
  <c r="E52" i="6" l="1"/>
  <c r="H52" i="6" s="1"/>
  <c r="J52" i="6" s="1"/>
  <c r="E53" i="6"/>
  <c r="H53" i="6" s="1"/>
  <c r="J53" i="6" s="1"/>
  <c r="E55" i="6"/>
  <c r="H55" i="6" s="1"/>
  <c r="J55" i="6" s="1"/>
  <c r="J14" i="6" l="1"/>
  <c r="I13" i="6"/>
  <c r="K13" i="6" s="1"/>
  <c r="I20" i="2"/>
  <c r="J20" i="2" s="1"/>
  <c r="I21" i="2" s="1"/>
  <c r="J21" i="2" s="1"/>
  <c r="J14" i="1"/>
  <c r="H14" i="1"/>
  <c r="I14" i="1" s="1"/>
  <c r="H15" i="1" s="1"/>
  <c r="I15" i="1" s="1"/>
  <c r="J15" i="3"/>
  <c r="H15" i="3"/>
  <c r="I15" i="3" s="1"/>
  <c r="H16" i="3" s="1"/>
  <c r="I16" i="3" s="1"/>
  <c r="K12" i="4"/>
  <c r="I12" i="4"/>
  <c r="J12" i="4" s="1"/>
  <c r="I13" i="4" s="1"/>
  <c r="J13" i="4" s="1"/>
  <c r="O35" i="5"/>
  <c r="N35" i="5"/>
  <c r="O34" i="5"/>
  <c r="J5" i="1"/>
  <c r="D2" i="1"/>
  <c r="I4" i="6"/>
  <c r="K4" i="6" s="1"/>
  <c r="I5" i="6"/>
  <c r="I6" i="6"/>
  <c r="K6" i="6" s="1"/>
  <c r="I7" i="6"/>
  <c r="K7" i="6" s="1"/>
  <c r="I8" i="6"/>
  <c r="K8" i="6" s="1"/>
  <c r="I9" i="6"/>
  <c r="K9" i="6" s="1"/>
  <c r="I10" i="6"/>
  <c r="K10" i="6" s="1"/>
  <c r="I11" i="6"/>
  <c r="K11" i="6" s="1"/>
  <c r="I12" i="6"/>
  <c r="K12" i="6" s="1"/>
  <c r="I3" i="6"/>
  <c r="J11" i="2"/>
  <c r="I12" i="2" s="1"/>
  <c r="J12" i="2" s="1"/>
  <c r="I13" i="2" s="1"/>
  <c r="J13" i="2" s="1"/>
  <c r="I14" i="2" s="1"/>
  <c r="J14" i="2" s="1"/>
  <c r="I15" i="2" s="1"/>
  <c r="J15" i="2" s="1"/>
  <c r="I16" i="2" s="1"/>
  <c r="J16" i="2" s="1"/>
  <c r="I17" i="2" s="1"/>
  <c r="J17" i="2" s="1"/>
  <c r="I18" i="2" s="1"/>
  <c r="J18" i="2" s="1"/>
  <c r="I19" i="2" s="1"/>
  <c r="J19" i="2" s="1"/>
  <c r="I1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2" i="2"/>
  <c r="K3" i="6" l="1"/>
  <c r="D22" i="6"/>
  <c r="D23" i="6" s="1"/>
  <c r="I14" i="6"/>
  <c r="K5" i="6"/>
  <c r="K14" i="6" s="1"/>
  <c r="B3" i="6"/>
  <c r="C3" i="6" s="1"/>
  <c r="B4" i="6" s="1"/>
  <c r="C4" i="6" s="1"/>
  <c r="B5" i="6" s="1"/>
  <c r="C5" i="6" s="1"/>
  <c r="B6" i="6" s="1"/>
  <c r="C6" i="6" s="1"/>
  <c r="B7" i="6" s="1"/>
  <c r="C7" i="6" s="1"/>
  <c r="B8" i="6" s="1"/>
  <c r="C8" i="6" s="1"/>
  <c r="B9" i="6" s="1"/>
  <c r="C9" i="6" s="1"/>
  <c r="B10" i="6" s="1"/>
  <c r="C10" i="6" s="1"/>
  <c r="B11" i="6" s="1"/>
  <c r="C11" i="6" s="1"/>
  <c r="B12" i="6" s="1"/>
  <c r="C12" i="6" s="1"/>
  <c r="B13" i="6" s="1"/>
  <c r="C13" i="6" s="1"/>
  <c r="J13" i="1"/>
  <c r="J12" i="1"/>
  <c r="J11" i="1"/>
  <c r="J10" i="1"/>
  <c r="J9" i="1"/>
  <c r="J8" i="1"/>
  <c r="J7" i="1"/>
  <c r="J6" i="1"/>
  <c r="H5" i="1"/>
  <c r="I5" i="1" s="1"/>
  <c r="H6" i="1" s="1"/>
  <c r="I6" i="1" s="1"/>
  <c r="H7" i="1" s="1"/>
  <c r="I7" i="1" s="1"/>
  <c r="H8" i="1" s="1"/>
  <c r="I8" i="1" s="1"/>
  <c r="H9" i="1" s="1"/>
  <c r="I9" i="1" s="1"/>
  <c r="H10" i="1" s="1"/>
  <c r="I10" i="1" s="1"/>
  <c r="H11" i="1" s="1"/>
  <c r="I11" i="1" s="1"/>
  <c r="H12" i="1" s="1"/>
  <c r="I12" i="1" s="1"/>
  <c r="H13" i="1" s="1"/>
  <c r="I13" i="1" s="1"/>
  <c r="D2" i="3"/>
  <c r="J6" i="3" s="1"/>
  <c r="J14" i="3"/>
  <c r="J13" i="3"/>
  <c r="J12" i="3"/>
  <c r="J11" i="3"/>
  <c r="J10" i="3"/>
  <c r="J9" i="3"/>
  <c r="J8" i="3"/>
  <c r="J7" i="3"/>
  <c r="I6" i="3"/>
  <c r="H7" i="3" s="1"/>
  <c r="I7" i="3" s="1"/>
  <c r="H8" i="3" s="1"/>
  <c r="I8" i="3" s="1"/>
  <c r="H9" i="3" s="1"/>
  <c r="I9" i="3" s="1"/>
  <c r="H10" i="3" s="1"/>
  <c r="I10" i="3" s="1"/>
  <c r="H11" i="3" s="1"/>
  <c r="I11" i="3" s="1"/>
  <c r="H12" i="3" s="1"/>
  <c r="I12" i="3" s="1"/>
  <c r="H13" i="3" s="1"/>
  <c r="I13" i="3" s="1"/>
  <c r="H14" i="3" s="1"/>
  <c r="I14" i="3" s="1"/>
  <c r="H6" i="3"/>
  <c r="P6" i="5"/>
  <c r="I3" i="4"/>
  <c r="J3" i="4" s="1"/>
  <c r="I4" i="4" s="1"/>
  <c r="J4" i="4" s="1"/>
  <c r="I5" i="4" s="1"/>
  <c r="J5" i="4" s="1"/>
  <c r="I6" i="4" s="1"/>
  <c r="J6" i="4" s="1"/>
  <c r="I7" i="4" s="1"/>
  <c r="J7" i="4" s="1"/>
  <c r="I8" i="4" s="1"/>
  <c r="J8" i="4" s="1"/>
  <c r="I9" i="4" s="1"/>
  <c r="J9" i="4" s="1"/>
  <c r="I10" i="4" s="1"/>
  <c r="J10" i="4" s="1"/>
  <c r="I11" i="4" s="1"/>
  <c r="J11" i="4" s="1"/>
  <c r="N25" i="5"/>
  <c r="O25" i="5" s="1"/>
  <c r="N26" i="5" s="1"/>
  <c r="O26" i="5" s="1"/>
  <c r="N27" i="5" s="1"/>
  <c r="O27" i="5" s="1"/>
  <c r="N28" i="5" s="1"/>
  <c r="O28" i="5" s="1"/>
  <c r="N29" i="5" s="1"/>
  <c r="O29" i="5" s="1"/>
  <c r="N30" i="5" s="1"/>
  <c r="O30" i="5" s="1"/>
  <c r="N31" i="5" s="1"/>
  <c r="O31" i="5" s="1"/>
  <c r="N32" i="5" s="1"/>
  <c r="O32" i="5" s="1"/>
  <c r="N33" i="5" s="1"/>
  <c r="O33" i="5" s="1"/>
  <c r="N34" i="5" s="1"/>
  <c r="I7" i="2"/>
  <c r="I341" i="5"/>
  <c r="I343" i="5"/>
  <c r="I344" i="5"/>
  <c r="I345" i="5"/>
  <c r="I351" i="5"/>
  <c r="I353" i="5"/>
  <c r="I354" i="5"/>
  <c r="I355" i="5"/>
  <c r="I361" i="5"/>
  <c r="I363" i="5"/>
  <c r="I364" i="5"/>
  <c r="I365" i="5"/>
  <c r="I33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I337" i="5" s="1"/>
  <c r="G338" i="5"/>
  <c r="I338" i="5" s="1"/>
  <c r="G339" i="5"/>
  <c r="I339" i="5" s="1"/>
  <c r="G340" i="5"/>
  <c r="I340" i="5" s="1"/>
  <c r="G341" i="5"/>
  <c r="G342" i="5"/>
  <c r="I342" i="5" s="1"/>
  <c r="G343" i="5"/>
  <c r="G344" i="5"/>
  <c r="G345" i="5"/>
  <c r="G346" i="5"/>
  <c r="I346" i="5" s="1"/>
  <c r="G347" i="5"/>
  <c r="I347" i="5" s="1"/>
  <c r="G348" i="5"/>
  <c r="I348" i="5" s="1"/>
  <c r="G349" i="5"/>
  <c r="I349" i="5" s="1"/>
  <c r="G350" i="5"/>
  <c r="I350" i="5" s="1"/>
  <c r="G351" i="5"/>
  <c r="G352" i="5"/>
  <c r="I352" i="5" s="1"/>
  <c r="G353" i="5"/>
  <c r="G354" i="5"/>
  <c r="G355" i="5"/>
  <c r="G356" i="5"/>
  <c r="I356" i="5" s="1"/>
  <c r="G357" i="5"/>
  <c r="I357" i="5" s="1"/>
  <c r="G358" i="5"/>
  <c r="I358" i="5" s="1"/>
  <c r="G359" i="5"/>
  <c r="I359" i="5" s="1"/>
  <c r="G360" i="5"/>
  <c r="I360" i="5" s="1"/>
  <c r="G361" i="5"/>
  <c r="G362" i="5"/>
  <c r="I362" i="5" s="1"/>
  <c r="G363" i="5"/>
  <c r="G364" i="5"/>
  <c r="G365" i="5"/>
  <c r="G366" i="5"/>
  <c r="I366" i="5" s="1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2" i="5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2" i="1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2" i="3"/>
  <c r="N3" i="5"/>
  <c r="D27" i="6" l="1"/>
  <c r="J15" i="1"/>
  <c r="J16" i="3"/>
  <c r="D32" i="6"/>
  <c r="E27" i="6"/>
  <c r="E32" i="6" s="1"/>
  <c r="E33" i="6" s="1"/>
  <c r="C95" i="6" s="1"/>
  <c r="C98" i="6" s="1"/>
  <c r="D33" i="6"/>
  <c r="D17" i="6"/>
  <c r="I8" i="2"/>
  <c r="P35" i="5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 s="1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 s="1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 s="1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 s="1"/>
  <c r="C120" i="4"/>
  <c r="D120" i="4" s="1"/>
  <c r="C121" i="4"/>
  <c r="D121" i="4" s="1"/>
  <c r="C122" i="4"/>
  <c r="D122" i="4" s="1"/>
  <c r="C123" i="4"/>
  <c r="D123" i="4" s="1"/>
  <c r="C124" i="4"/>
  <c r="D124" i="4" s="1"/>
  <c r="C125" i="4"/>
  <c r="D125" i="4" s="1"/>
  <c r="C126" i="4"/>
  <c r="D126" i="4" s="1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 s="1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 s="1"/>
  <c r="C154" i="4"/>
  <c r="D154" i="4" s="1"/>
  <c r="C155" i="4"/>
  <c r="D155" i="4" s="1"/>
  <c r="C156" i="4"/>
  <c r="D156" i="4" s="1"/>
  <c r="C157" i="4"/>
  <c r="D157" i="4" s="1"/>
  <c r="C158" i="4"/>
  <c r="D158" i="4" s="1"/>
  <c r="C159" i="4"/>
  <c r="D159" i="4" s="1"/>
  <c r="C160" i="4"/>
  <c r="D160" i="4" s="1"/>
  <c r="C161" i="4"/>
  <c r="D161" i="4" s="1"/>
  <c r="C162" i="4"/>
  <c r="D162" i="4" s="1"/>
  <c r="C163" i="4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 s="1"/>
  <c r="C176" i="4"/>
  <c r="D176" i="4" s="1"/>
  <c r="C177" i="4"/>
  <c r="D177" i="4" s="1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D184" i="4" s="1"/>
  <c r="C185" i="4"/>
  <c r="D185" i="4" s="1"/>
  <c r="C186" i="4"/>
  <c r="D186" i="4" s="1"/>
  <c r="C187" i="4"/>
  <c r="D187" i="4" s="1"/>
  <c r="C188" i="4"/>
  <c r="D188" i="4" s="1"/>
  <c r="C189" i="4"/>
  <c r="D189" i="4" s="1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D208" i="4" s="1"/>
  <c r="C209" i="4"/>
  <c r="D209" i="4" s="1"/>
  <c r="C210" i="4"/>
  <c r="D210" i="4" s="1"/>
  <c r="C211" i="4"/>
  <c r="D211" i="4" s="1"/>
  <c r="C212" i="4"/>
  <c r="D212" i="4" s="1"/>
  <c r="C213" i="4"/>
  <c r="D213" i="4" s="1"/>
  <c r="C214" i="4"/>
  <c r="D214" i="4" s="1"/>
  <c r="C215" i="4"/>
  <c r="D215" i="4" s="1"/>
  <c r="C216" i="4"/>
  <c r="D216" i="4" s="1"/>
  <c r="C217" i="4"/>
  <c r="D217" i="4" s="1"/>
  <c r="C218" i="4"/>
  <c r="D218" i="4" s="1"/>
  <c r="C219" i="4"/>
  <c r="D219" i="4" s="1"/>
  <c r="C220" i="4"/>
  <c r="D220" i="4" s="1"/>
  <c r="C221" i="4"/>
  <c r="D221" i="4" s="1"/>
  <c r="C222" i="4"/>
  <c r="D222" i="4" s="1"/>
  <c r="C223" i="4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42" i="4"/>
  <c r="D242" i="4" s="1"/>
  <c r="C243" i="4"/>
  <c r="D243" i="4" s="1"/>
  <c r="C244" i="4"/>
  <c r="D244" i="4" s="1"/>
  <c r="C245" i="4"/>
  <c r="D245" i="4" s="1"/>
  <c r="C246" i="4"/>
  <c r="D246" i="4" s="1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D253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C261" i="4"/>
  <c r="D261" i="4" s="1"/>
  <c r="C262" i="4"/>
  <c r="D262" i="4" s="1"/>
  <c r="C263" i="4"/>
  <c r="D263" i="4" s="1"/>
  <c r="C264" i="4"/>
  <c r="D264" i="4" s="1"/>
  <c r="C265" i="4"/>
  <c r="D265" i="4" s="1"/>
  <c r="C266" i="4"/>
  <c r="D266" i="4" s="1"/>
  <c r="C267" i="4"/>
  <c r="D267" i="4" s="1"/>
  <c r="C268" i="4"/>
  <c r="D268" i="4" s="1"/>
  <c r="C269" i="4"/>
  <c r="D269" i="4" s="1"/>
  <c r="C270" i="4"/>
  <c r="D270" i="4" s="1"/>
  <c r="C271" i="4"/>
  <c r="D271" i="4" s="1"/>
  <c r="C272" i="4"/>
  <c r="D272" i="4" s="1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D278" i="4" s="1"/>
  <c r="C279" i="4"/>
  <c r="D279" i="4" s="1"/>
  <c r="C280" i="4"/>
  <c r="D280" i="4" s="1"/>
  <c r="C281" i="4"/>
  <c r="D281" i="4" s="1"/>
  <c r="C282" i="4"/>
  <c r="D282" i="4" s="1"/>
  <c r="C283" i="4"/>
  <c r="D283" i="4" s="1"/>
  <c r="C284" i="4"/>
  <c r="D284" i="4" s="1"/>
  <c r="C285" i="4"/>
  <c r="D285" i="4" s="1"/>
  <c r="C286" i="4"/>
  <c r="D286" i="4" s="1"/>
  <c r="C287" i="4"/>
  <c r="D287" i="4" s="1"/>
  <c r="C288" i="4"/>
  <c r="D288" i="4" s="1"/>
  <c r="C289" i="4"/>
  <c r="D289" i="4" s="1"/>
  <c r="C290" i="4"/>
  <c r="D290" i="4" s="1"/>
  <c r="C291" i="4"/>
  <c r="D291" i="4" s="1"/>
  <c r="C292" i="4"/>
  <c r="D292" i="4" s="1"/>
  <c r="C293" i="4"/>
  <c r="D293" i="4" s="1"/>
  <c r="C294" i="4"/>
  <c r="D294" i="4" s="1"/>
  <c r="C295" i="4"/>
  <c r="D295" i="4" s="1"/>
  <c r="C296" i="4"/>
  <c r="D296" i="4" s="1"/>
  <c r="C297" i="4"/>
  <c r="D297" i="4" s="1"/>
  <c r="C298" i="4"/>
  <c r="D298" i="4" s="1"/>
  <c r="C299" i="4"/>
  <c r="D299" i="4" s="1"/>
  <c r="C300" i="4"/>
  <c r="D300" i="4" s="1"/>
  <c r="C301" i="4"/>
  <c r="D301" i="4" s="1"/>
  <c r="C302" i="4"/>
  <c r="D302" i="4" s="1"/>
  <c r="C303" i="4"/>
  <c r="D303" i="4" s="1"/>
  <c r="C304" i="4"/>
  <c r="D304" i="4" s="1"/>
  <c r="C305" i="4"/>
  <c r="D305" i="4" s="1"/>
  <c r="C306" i="4"/>
  <c r="D306" i="4" s="1"/>
  <c r="C307" i="4"/>
  <c r="D307" i="4" s="1"/>
  <c r="C308" i="4"/>
  <c r="D308" i="4" s="1"/>
  <c r="C309" i="4"/>
  <c r="D309" i="4" s="1"/>
  <c r="C310" i="4"/>
  <c r="D310" i="4" s="1"/>
  <c r="C311" i="4"/>
  <c r="D311" i="4" s="1"/>
  <c r="C312" i="4"/>
  <c r="D312" i="4" s="1"/>
  <c r="C313" i="4"/>
  <c r="D313" i="4" s="1"/>
  <c r="C314" i="4"/>
  <c r="D314" i="4" s="1"/>
  <c r="C315" i="4"/>
  <c r="D315" i="4" s="1"/>
  <c r="C316" i="4"/>
  <c r="D316" i="4" s="1"/>
  <c r="C317" i="4"/>
  <c r="D317" i="4" s="1"/>
  <c r="C318" i="4"/>
  <c r="D318" i="4" s="1"/>
  <c r="C319" i="4"/>
  <c r="D319" i="4" s="1"/>
  <c r="C320" i="4"/>
  <c r="D320" i="4" s="1"/>
  <c r="C321" i="4"/>
  <c r="D321" i="4" s="1"/>
  <c r="C322" i="4"/>
  <c r="D322" i="4" s="1"/>
  <c r="C323" i="4"/>
  <c r="D323" i="4" s="1"/>
  <c r="C324" i="4"/>
  <c r="D324" i="4" s="1"/>
  <c r="C325" i="4"/>
  <c r="D325" i="4" s="1"/>
  <c r="C326" i="4"/>
  <c r="D326" i="4" s="1"/>
  <c r="C327" i="4"/>
  <c r="D327" i="4" s="1"/>
  <c r="C328" i="4"/>
  <c r="D328" i="4" s="1"/>
  <c r="C329" i="4"/>
  <c r="D329" i="4" s="1"/>
  <c r="C330" i="4"/>
  <c r="D330" i="4" s="1"/>
  <c r="C331" i="4"/>
  <c r="D331" i="4" s="1"/>
  <c r="C332" i="4"/>
  <c r="D332" i="4" s="1"/>
  <c r="C333" i="4"/>
  <c r="D333" i="4" s="1"/>
  <c r="C334" i="4"/>
  <c r="D334" i="4" s="1"/>
  <c r="C335" i="4"/>
  <c r="D335" i="4" s="1"/>
  <c r="C336" i="4"/>
  <c r="D336" i="4" s="1"/>
  <c r="C337" i="4"/>
  <c r="D337" i="4" s="1"/>
  <c r="C338" i="4"/>
  <c r="D338" i="4" s="1"/>
  <c r="C339" i="4"/>
  <c r="D339" i="4" s="1"/>
  <c r="C340" i="4"/>
  <c r="D340" i="4" s="1"/>
  <c r="C341" i="4"/>
  <c r="D341" i="4" s="1"/>
  <c r="C342" i="4"/>
  <c r="D342" i="4" s="1"/>
  <c r="C343" i="4"/>
  <c r="D343" i="4" s="1"/>
  <c r="C344" i="4"/>
  <c r="D344" i="4" s="1"/>
  <c r="C345" i="4"/>
  <c r="D345" i="4" s="1"/>
  <c r="C346" i="4"/>
  <c r="D346" i="4" s="1"/>
  <c r="C347" i="4"/>
  <c r="D347" i="4" s="1"/>
  <c r="C348" i="4"/>
  <c r="D348" i="4" s="1"/>
  <c r="C349" i="4"/>
  <c r="D349" i="4" s="1"/>
  <c r="C350" i="4"/>
  <c r="D350" i="4" s="1"/>
  <c r="C351" i="4"/>
  <c r="D351" i="4" s="1"/>
  <c r="C352" i="4"/>
  <c r="D352" i="4" s="1"/>
  <c r="C353" i="4"/>
  <c r="D353" i="4" s="1"/>
  <c r="C354" i="4"/>
  <c r="D354" i="4" s="1"/>
  <c r="C355" i="4"/>
  <c r="D355" i="4" s="1"/>
  <c r="C356" i="4"/>
  <c r="D356" i="4" s="1"/>
  <c r="C357" i="4"/>
  <c r="D357" i="4" s="1"/>
  <c r="C358" i="4"/>
  <c r="D358" i="4" s="1"/>
  <c r="C359" i="4"/>
  <c r="D359" i="4" s="1"/>
  <c r="C360" i="4"/>
  <c r="D360" i="4" s="1"/>
  <c r="C361" i="4"/>
  <c r="D361" i="4" s="1"/>
  <c r="C362" i="4"/>
  <c r="D362" i="4" s="1"/>
  <c r="C363" i="4"/>
  <c r="D363" i="4" s="1"/>
  <c r="C364" i="4"/>
  <c r="D364" i="4" s="1"/>
  <c r="C365" i="4"/>
  <c r="D365" i="4" s="1"/>
  <c r="C366" i="4"/>
  <c r="D366" i="4" s="1"/>
  <c r="C367" i="4"/>
  <c r="D367" i="4" s="1"/>
  <c r="C368" i="4"/>
  <c r="D368" i="4" s="1"/>
  <c r="C369" i="4"/>
  <c r="D369" i="4" s="1"/>
  <c r="C370" i="4"/>
  <c r="D370" i="4" s="1"/>
  <c r="C371" i="4"/>
  <c r="D371" i="4" s="1"/>
  <c r="C372" i="4"/>
  <c r="D372" i="4" s="1"/>
  <c r="C373" i="4"/>
  <c r="D373" i="4" s="1"/>
  <c r="C374" i="4"/>
  <c r="D374" i="4" s="1"/>
  <c r="C375" i="4"/>
  <c r="D375" i="4" s="1"/>
  <c r="C376" i="4"/>
  <c r="D376" i="4" s="1"/>
  <c r="C377" i="4"/>
  <c r="D377" i="4" s="1"/>
  <c r="C378" i="4"/>
  <c r="D378" i="4" s="1"/>
  <c r="C379" i="4"/>
  <c r="D379" i="4" s="1"/>
  <c r="C380" i="4"/>
  <c r="D380" i="4" s="1"/>
  <c r="C381" i="4"/>
  <c r="D381" i="4" s="1"/>
  <c r="C382" i="4"/>
  <c r="D382" i="4" s="1"/>
  <c r="C383" i="4"/>
  <c r="D383" i="4" s="1"/>
  <c r="C384" i="4"/>
  <c r="D384" i="4" s="1"/>
  <c r="C385" i="4"/>
  <c r="D385" i="4" s="1"/>
  <c r="C386" i="4"/>
  <c r="D386" i="4" s="1"/>
  <c r="C387" i="4"/>
  <c r="D387" i="4" s="1"/>
  <c r="C388" i="4"/>
  <c r="D388" i="4" s="1"/>
  <c r="C389" i="4"/>
  <c r="D389" i="4" s="1"/>
  <c r="C390" i="4"/>
  <c r="D390" i="4" s="1"/>
  <c r="C391" i="4"/>
  <c r="D391" i="4" s="1"/>
  <c r="C392" i="4"/>
  <c r="D392" i="4" s="1"/>
  <c r="C393" i="4"/>
  <c r="D393" i="4" s="1"/>
  <c r="C394" i="4"/>
  <c r="D394" i="4" s="1"/>
  <c r="C395" i="4"/>
  <c r="D395" i="4" s="1"/>
  <c r="C396" i="4"/>
  <c r="D396" i="4" s="1"/>
  <c r="C397" i="4"/>
  <c r="D397" i="4" s="1"/>
  <c r="C398" i="4"/>
  <c r="D398" i="4" s="1"/>
  <c r="C399" i="4"/>
  <c r="D399" i="4" s="1"/>
  <c r="C400" i="4"/>
  <c r="D400" i="4" s="1"/>
  <c r="C401" i="4"/>
  <c r="D401" i="4" s="1"/>
  <c r="C402" i="4"/>
  <c r="D402" i="4" s="1"/>
  <c r="C403" i="4"/>
  <c r="D403" i="4" s="1"/>
  <c r="C404" i="4"/>
  <c r="D404" i="4" s="1"/>
  <c r="C405" i="4"/>
  <c r="D405" i="4" s="1"/>
  <c r="C406" i="4"/>
  <c r="D406" i="4" s="1"/>
  <c r="C407" i="4"/>
  <c r="D407" i="4" s="1"/>
  <c r="C408" i="4"/>
  <c r="D408" i="4" s="1"/>
  <c r="C409" i="4"/>
  <c r="D409" i="4" s="1"/>
  <c r="C410" i="4"/>
  <c r="D410" i="4" s="1"/>
  <c r="C411" i="4"/>
  <c r="D411" i="4" s="1"/>
  <c r="C412" i="4"/>
  <c r="D412" i="4" s="1"/>
  <c r="C413" i="4"/>
  <c r="D413" i="4" s="1"/>
  <c r="C414" i="4"/>
  <c r="D414" i="4" s="1"/>
  <c r="C415" i="4"/>
  <c r="D415" i="4" s="1"/>
  <c r="C416" i="4"/>
  <c r="D416" i="4" s="1"/>
  <c r="C417" i="4"/>
  <c r="D417" i="4" s="1"/>
  <c r="C418" i="4"/>
  <c r="D418" i="4" s="1"/>
  <c r="C419" i="4"/>
  <c r="D419" i="4" s="1"/>
  <c r="C420" i="4"/>
  <c r="D420" i="4" s="1"/>
  <c r="C421" i="4"/>
  <c r="D421" i="4" s="1"/>
  <c r="C422" i="4"/>
  <c r="D422" i="4" s="1"/>
  <c r="C423" i="4"/>
  <c r="D423" i="4" s="1"/>
  <c r="C424" i="4"/>
  <c r="D424" i="4" s="1"/>
  <c r="C425" i="4"/>
  <c r="D425" i="4" s="1"/>
  <c r="C426" i="4"/>
  <c r="D426" i="4" s="1"/>
  <c r="C427" i="4"/>
  <c r="D427" i="4" s="1"/>
  <c r="C428" i="4"/>
  <c r="D428" i="4" s="1"/>
  <c r="C429" i="4"/>
  <c r="D429" i="4" s="1"/>
  <c r="C430" i="4"/>
  <c r="D430" i="4" s="1"/>
  <c r="C431" i="4"/>
  <c r="D431" i="4" s="1"/>
  <c r="C432" i="4"/>
  <c r="D432" i="4" s="1"/>
  <c r="C433" i="4"/>
  <c r="D433" i="4" s="1"/>
  <c r="C434" i="4"/>
  <c r="D434" i="4" s="1"/>
  <c r="C435" i="4"/>
  <c r="D435" i="4" s="1"/>
  <c r="C436" i="4"/>
  <c r="D436" i="4" s="1"/>
  <c r="C437" i="4"/>
  <c r="D437" i="4" s="1"/>
  <c r="C438" i="4"/>
  <c r="D438" i="4" s="1"/>
  <c r="C439" i="4"/>
  <c r="D439" i="4" s="1"/>
  <c r="C440" i="4"/>
  <c r="D440" i="4" s="1"/>
  <c r="C441" i="4"/>
  <c r="D441" i="4" s="1"/>
  <c r="C442" i="4"/>
  <c r="D442" i="4" s="1"/>
  <c r="C443" i="4"/>
  <c r="D443" i="4" s="1"/>
  <c r="C444" i="4"/>
  <c r="D444" i="4" s="1"/>
  <c r="C445" i="4"/>
  <c r="D445" i="4" s="1"/>
  <c r="C446" i="4"/>
  <c r="D446" i="4" s="1"/>
  <c r="C447" i="4"/>
  <c r="D447" i="4" s="1"/>
  <c r="C448" i="4"/>
  <c r="D448" i="4" s="1"/>
  <c r="C449" i="4"/>
  <c r="D449" i="4" s="1"/>
  <c r="C450" i="4"/>
  <c r="D450" i="4" s="1"/>
  <c r="C451" i="4"/>
  <c r="D451" i="4" s="1"/>
  <c r="C452" i="4"/>
  <c r="D452" i="4" s="1"/>
  <c r="C453" i="4"/>
  <c r="D453" i="4" s="1"/>
  <c r="C454" i="4"/>
  <c r="D454" i="4" s="1"/>
  <c r="C455" i="4"/>
  <c r="D455" i="4" s="1"/>
  <c r="C456" i="4"/>
  <c r="D456" i="4" s="1"/>
  <c r="C457" i="4"/>
  <c r="D457" i="4" s="1"/>
  <c r="C458" i="4"/>
  <c r="D458" i="4" s="1"/>
  <c r="C459" i="4"/>
  <c r="D459" i="4" s="1"/>
  <c r="C460" i="4"/>
  <c r="D460" i="4" s="1"/>
  <c r="C461" i="4"/>
  <c r="D461" i="4" s="1"/>
  <c r="C462" i="4"/>
  <c r="D462" i="4" s="1"/>
  <c r="C463" i="4"/>
  <c r="D463" i="4" s="1"/>
  <c r="C464" i="4"/>
  <c r="D464" i="4" s="1"/>
  <c r="C465" i="4"/>
  <c r="D465" i="4" s="1"/>
  <c r="C466" i="4"/>
  <c r="D466" i="4" s="1"/>
  <c r="C467" i="4"/>
  <c r="D467" i="4" s="1"/>
  <c r="C468" i="4"/>
  <c r="D468" i="4" s="1"/>
  <c r="C469" i="4"/>
  <c r="D469" i="4" s="1"/>
  <c r="C470" i="4"/>
  <c r="D470" i="4" s="1"/>
  <c r="C471" i="4"/>
  <c r="D471" i="4" s="1"/>
  <c r="C472" i="4"/>
  <c r="D472" i="4" s="1"/>
  <c r="C473" i="4"/>
  <c r="D473" i="4" s="1"/>
  <c r="C474" i="4"/>
  <c r="D474" i="4" s="1"/>
  <c r="C475" i="4"/>
  <c r="D475" i="4" s="1"/>
  <c r="C476" i="4"/>
  <c r="D476" i="4" s="1"/>
  <c r="C477" i="4"/>
  <c r="D477" i="4" s="1"/>
  <c r="C478" i="4"/>
  <c r="D478" i="4" s="1"/>
  <c r="C479" i="4"/>
  <c r="D479" i="4" s="1"/>
  <c r="C480" i="4"/>
  <c r="D480" i="4" s="1"/>
  <c r="C481" i="4"/>
  <c r="D481" i="4" s="1"/>
  <c r="C482" i="4"/>
  <c r="D482" i="4" s="1"/>
  <c r="C483" i="4"/>
  <c r="D483" i="4" s="1"/>
  <c r="C484" i="4"/>
  <c r="D484" i="4" s="1"/>
  <c r="C485" i="4"/>
  <c r="D485" i="4" s="1"/>
  <c r="C486" i="4"/>
  <c r="D486" i="4" s="1"/>
  <c r="C487" i="4"/>
  <c r="D487" i="4" s="1"/>
  <c r="C488" i="4"/>
  <c r="D488" i="4" s="1"/>
  <c r="C489" i="4"/>
  <c r="D489" i="4" s="1"/>
  <c r="C490" i="4"/>
  <c r="D490" i="4" s="1"/>
  <c r="C491" i="4"/>
  <c r="D491" i="4" s="1"/>
  <c r="C492" i="4"/>
  <c r="D492" i="4" s="1"/>
  <c r="C493" i="4"/>
  <c r="D493" i="4" s="1"/>
  <c r="C494" i="4"/>
  <c r="D494" i="4" s="1"/>
  <c r="C495" i="4"/>
  <c r="D495" i="4" s="1"/>
  <c r="C496" i="4"/>
  <c r="D496" i="4" s="1"/>
  <c r="C497" i="4"/>
  <c r="D497" i="4" s="1"/>
  <c r="C498" i="4"/>
  <c r="D498" i="4" s="1"/>
  <c r="C499" i="4"/>
  <c r="D499" i="4" s="1"/>
  <c r="C500" i="4"/>
  <c r="D500" i="4" s="1"/>
  <c r="C501" i="4"/>
  <c r="D501" i="4" s="1"/>
  <c r="C502" i="4"/>
  <c r="D502" i="4" s="1"/>
  <c r="C503" i="4"/>
  <c r="D503" i="4" s="1"/>
  <c r="C504" i="4"/>
  <c r="D504" i="4" s="1"/>
  <c r="C505" i="4"/>
  <c r="D505" i="4" s="1"/>
  <c r="C506" i="4"/>
  <c r="D506" i="4" s="1"/>
  <c r="C507" i="4"/>
  <c r="D507" i="4" s="1"/>
  <c r="C508" i="4"/>
  <c r="D508" i="4" s="1"/>
  <c r="C509" i="4"/>
  <c r="D509" i="4" s="1"/>
  <c r="C510" i="4"/>
  <c r="D510" i="4" s="1"/>
  <c r="C511" i="4"/>
  <c r="D511" i="4" s="1"/>
  <c r="C512" i="4"/>
  <c r="D512" i="4" s="1"/>
  <c r="C513" i="4"/>
  <c r="D513" i="4" s="1"/>
  <c r="C514" i="4"/>
  <c r="D514" i="4" s="1"/>
  <c r="C515" i="4"/>
  <c r="D515" i="4" s="1"/>
  <c r="C516" i="4"/>
  <c r="D516" i="4" s="1"/>
  <c r="C517" i="4"/>
  <c r="D517" i="4" s="1"/>
  <c r="C518" i="4"/>
  <c r="D518" i="4" s="1"/>
  <c r="C519" i="4"/>
  <c r="D519" i="4" s="1"/>
  <c r="C520" i="4"/>
  <c r="D520" i="4" s="1"/>
  <c r="C521" i="4"/>
  <c r="D521" i="4" s="1"/>
  <c r="C522" i="4"/>
  <c r="D522" i="4" s="1"/>
  <c r="C523" i="4"/>
  <c r="D523" i="4" s="1"/>
  <c r="C524" i="4"/>
  <c r="D524" i="4" s="1"/>
  <c r="C525" i="4"/>
  <c r="D525" i="4" s="1"/>
  <c r="C526" i="4"/>
  <c r="D526" i="4" s="1"/>
  <c r="C527" i="4"/>
  <c r="D527" i="4" s="1"/>
  <c r="C528" i="4"/>
  <c r="D528" i="4" s="1"/>
  <c r="C529" i="4"/>
  <c r="D529" i="4" s="1"/>
  <c r="C530" i="4"/>
  <c r="D530" i="4" s="1"/>
  <c r="C531" i="4"/>
  <c r="D531" i="4" s="1"/>
  <c r="C532" i="4"/>
  <c r="D532" i="4" s="1"/>
  <c r="C533" i="4"/>
  <c r="D533" i="4" s="1"/>
  <c r="C534" i="4"/>
  <c r="D534" i="4" s="1"/>
  <c r="C535" i="4"/>
  <c r="D535" i="4" s="1"/>
  <c r="C536" i="4"/>
  <c r="D536" i="4" s="1"/>
  <c r="C537" i="4"/>
  <c r="D537" i="4" s="1"/>
  <c r="C538" i="4"/>
  <c r="D538" i="4" s="1"/>
  <c r="C539" i="4"/>
  <c r="D539" i="4" s="1"/>
  <c r="C540" i="4"/>
  <c r="D540" i="4" s="1"/>
  <c r="C541" i="4"/>
  <c r="D541" i="4" s="1"/>
  <c r="C542" i="4"/>
  <c r="D542" i="4" s="1"/>
  <c r="C543" i="4"/>
  <c r="D543" i="4" s="1"/>
  <c r="C544" i="4"/>
  <c r="D544" i="4" s="1"/>
  <c r="C545" i="4"/>
  <c r="D545" i="4" s="1"/>
  <c r="C546" i="4"/>
  <c r="D546" i="4" s="1"/>
  <c r="C547" i="4"/>
  <c r="D547" i="4" s="1"/>
  <c r="C548" i="4"/>
  <c r="D548" i="4" s="1"/>
  <c r="C549" i="4"/>
  <c r="D549" i="4" s="1"/>
  <c r="C550" i="4"/>
  <c r="D550" i="4" s="1"/>
  <c r="C551" i="4"/>
  <c r="D551" i="4" s="1"/>
  <c r="C552" i="4"/>
  <c r="D552" i="4" s="1"/>
  <c r="C553" i="4"/>
  <c r="D553" i="4" s="1"/>
  <c r="C554" i="4"/>
  <c r="D554" i="4" s="1"/>
  <c r="C555" i="4"/>
  <c r="D555" i="4" s="1"/>
  <c r="C556" i="4"/>
  <c r="D556" i="4" s="1"/>
  <c r="C557" i="4"/>
  <c r="D557" i="4" s="1"/>
  <c r="C558" i="4"/>
  <c r="D558" i="4" s="1"/>
  <c r="C559" i="4"/>
  <c r="D559" i="4" s="1"/>
  <c r="C560" i="4"/>
  <c r="D560" i="4" s="1"/>
  <c r="C561" i="4"/>
  <c r="D561" i="4" s="1"/>
  <c r="C562" i="4"/>
  <c r="D562" i="4" s="1"/>
  <c r="C563" i="4"/>
  <c r="D563" i="4" s="1"/>
  <c r="C564" i="4"/>
  <c r="D564" i="4" s="1"/>
  <c r="C565" i="4"/>
  <c r="D565" i="4" s="1"/>
  <c r="C566" i="4"/>
  <c r="D566" i="4" s="1"/>
  <c r="C567" i="4"/>
  <c r="D567" i="4" s="1"/>
  <c r="C568" i="4"/>
  <c r="D568" i="4" s="1"/>
  <c r="C569" i="4"/>
  <c r="D569" i="4" s="1"/>
  <c r="C570" i="4"/>
  <c r="D570" i="4" s="1"/>
  <c r="C571" i="4"/>
  <c r="D571" i="4" s="1"/>
  <c r="C572" i="4"/>
  <c r="D572" i="4" s="1"/>
  <c r="C573" i="4"/>
  <c r="D573" i="4" s="1"/>
  <c r="C574" i="4"/>
  <c r="D574" i="4" s="1"/>
  <c r="C575" i="4"/>
  <c r="D575" i="4" s="1"/>
  <c r="C576" i="4"/>
  <c r="D576" i="4" s="1"/>
  <c r="C577" i="4"/>
  <c r="D577" i="4" s="1"/>
  <c r="C578" i="4"/>
  <c r="D578" i="4" s="1"/>
  <c r="C579" i="4"/>
  <c r="D579" i="4" s="1"/>
  <c r="C580" i="4"/>
  <c r="D580" i="4" s="1"/>
  <c r="C581" i="4"/>
  <c r="D581" i="4" s="1"/>
  <c r="C582" i="4"/>
  <c r="D582" i="4" s="1"/>
  <c r="C583" i="4"/>
  <c r="D583" i="4" s="1"/>
  <c r="C584" i="4"/>
  <c r="D584" i="4" s="1"/>
  <c r="C585" i="4"/>
  <c r="D585" i="4" s="1"/>
  <c r="C586" i="4"/>
  <c r="D586" i="4" s="1"/>
  <c r="C587" i="4"/>
  <c r="D587" i="4" s="1"/>
  <c r="C588" i="4"/>
  <c r="D588" i="4" s="1"/>
  <c r="C589" i="4"/>
  <c r="D589" i="4" s="1"/>
  <c r="C590" i="4"/>
  <c r="D590" i="4" s="1"/>
  <c r="C591" i="4"/>
  <c r="D591" i="4" s="1"/>
  <c r="C592" i="4"/>
  <c r="D592" i="4" s="1"/>
  <c r="C593" i="4"/>
  <c r="D593" i="4" s="1"/>
  <c r="C594" i="4"/>
  <c r="D594" i="4" s="1"/>
  <c r="C595" i="4"/>
  <c r="D595" i="4" s="1"/>
  <c r="C596" i="4"/>
  <c r="D596" i="4" s="1"/>
  <c r="C597" i="4"/>
  <c r="D597" i="4" s="1"/>
  <c r="C598" i="4"/>
  <c r="D598" i="4" s="1"/>
  <c r="C599" i="4"/>
  <c r="D599" i="4" s="1"/>
  <c r="C600" i="4"/>
  <c r="D600" i="4" s="1"/>
  <c r="C601" i="4"/>
  <c r="D601" i="4" s="1"/>
  <c r="C602" i="4"/>
  <c r="D602" i="4" s="1"/>
  <c r="C603" i="4"/>
  <c r="D603" i="4" s="1"/>
  <c r="C604" i="4"/>
  <c r="D604" i="4" s="1"/>
  <c r="C605" i="4"/>
  <c r="D605" i="4" s="1"/>
  <c r="C606" i="4"/>
  <c r="D606" i="4" s="1"/>
  <c r="C607" i="4"/>
  <c r="D607" i="4" s="1"/>
  <c r="C608" i="4"/>
  <c r="D608" i="4" s="1"/>
  <c r="C609" i="4"/>
  <c r="D609" i="4" s="1"/>
  <c r="C610" i="4"/>
  <c r="D610" i="4" s="1"/>
  <c r="C611" i="4"/>
  <c r="D611" i="4" s="1"/>
  <c r="C612" i="4"/>
  <c r="D612" i="4" s="1"/>
  <c r="C613" i="4"/>
  <c r="D613" i="4" s="1"/>
  <c r="C614" i="4"/>
  <c r="D614" i="4" s="1"/>
  <c r="C615" i="4"/>
  <c r="D615" i="4" s="1"/>
  <c r="C616" i="4"/>
  <c r="D616" i="4" s="1"/>
  <c r="C617" i="4"/>
  <c r="D617" i="4" s="1"/>
  <c r="C618" i="4"/>
  <c r="D618" i="4" s="1"/>
  <c r="C619" i="4"/>
  <c r="D619" i="4" s="1"/>
  <c r="C620" i="4"/>
  <c r="D620" i="4" s="1"/>
  <c r="C621" i="4"/>
  <c r="D621" i="4" s="1"/>
  <c r="C622" i="4"/>
  <c r="D622" i="4" s="1"/>
  <c r="C623" i="4"/>
  <c r="D623" i="4" s="1"/>
  <c r="C624" i="4"/>
  <c r="D624" i="4" s="1"/>
  <c r="C625" i="4"/>
  <c r="D625" i="4" s="1"/>
  <c r="C626" i="4"/>
  <c r="D626" i="4" s="1"/>
  <c r="C627" i="4"/>
  <c r="D627" i="4" s="1"/>
  <c r="C628" i="4"/>
  <c r="D628" i="4" s="1"/>
  <c r="C629" i="4"/>
  <c r="D629" i="4" s="1"/>
  <c r="C630" i="4"/>
  <c r="D630" i="4" s="1"/>
  <c r="C631" i="4"/>
  <c r="D631" i="4" s="1"/>
  <c r="C632" i="4"/>
  <c r="D632" i="4" s="1"/>
  <c r="C633" i="4"/>
  <c r="D633" i="4" s="1"/>
  <c r="C634" i="4"/>
  <c r="D634" i="4" s="1"/>
  <c r="C635" i="4"/>
  <c r="D635" i="4" s="1"/>
  <c r="C636" i="4"/>
  <c r="D636" i="4" s="1"/>
  <c r="C637" i="4"/>
  <c r="D637" i="4" s="1"/>
  <c r="C638" i="4"/>
  <c r="D638" i="4" s="1"/>
  <c r="C639" i="4"/>
  <c r="D639" i="4" s="1"/>
  <c r="C640" i="4"/>
  <c r="D640" i="4" s="1"/>
  <c r="C641" i="4"/>
  <c r="D641" i="4" s="1"/>
  <c r="C642" i="4"/>
  <c r="D642" i="4" s="1"/>
  <c r="C643" i="4"/>
  <c r="D643" i="4" s="1"/>
  <c r="C644" i="4"/>
  <c r="D644" i="4" s="1"/>
  <c r="C645" i="4"/>
  <c r="D645" i="4" s="1"/>
  <c r="C646" i="4"/>
  <c r="D646" i="4" s="1"/>
  <c r="C647" i="4"/>
  <c r="D647" i="4" s="1"/>
  <c r="C648" i="4"/>
  <c r="D648" i="4" s="1"/>
  <c r="C649" i="4"/>
  <c r="D649" i="4" s="1"/>
  <c r="C650" i="4"/>
  <c r="D650" i="4" s="1"/>
  <c r="C651" i="4"/>
  <c r="D651" i="4" s="1"/>
  <c r="C652" i="4"/>
  <c r="D652" i="4" s="1"/>
  <c r="C653" i="4"/>
  <c r="D653" i="4" s="1"/>
  <c r="C654" i="4"/>
  <c r="D654" i="4" s="1"/>
  <c r="C655" i="4"/>
  <c r="D655" i="4" s="1"/>
  <c r="C656" i="4"/>
  <c r="D656" i="4" s="1"/>
  <c r="C657" i="4"/>
  <c r="D657" i="4" s="1"/>
  <c r="C658" i="4"/>
  <c r="D658" i="4" s="1"/>
  <c r="C659" i="4"/>
  <c r="D659" i="4" s="1"/>
  <c r="C660" i="4"/>
  <c r="D660" i="4" s="1"/>
  <c r="C661" i="4"/>
  <c r="D661" i="4" s="1"/>
  <c r="C662" i="4"/>
  <c r="D662" i="4" s="1"/>
  <c r="C663" i="4"/>
  <c r="D663" i="4" s="1"/>
  <c r="C664" i="4"/>
  <c r="D664" i="4" s="1"/>
  <c r="C665" i="4"/>
  <c r="D665" i="4" s="1"/>
  <c r="C666" i="4"/>
  <c r="D666" i="4" s="1"/>
  <c r="C667" i="4"/>
  <c r="D667" i="4" s="1"/>
  <c r="C668" i="4"/>
  <c r="D668" i="4" s="1"/>
  <c r="C669" i="4"/>
  <c r="D669" i="4" s="1"/>
  <c r="C670" i="4"/>
  <c r="D670" i="4" s="1"/>
  <c r="C671" i="4"/>
  <c r="D671" i="4" s="1"/>
  <c r="C672" i="4"/>
  <c r="D672" i="4" s="1"/>
  <c r="C673" i="4"/>
  <c r="D673" i="4" s="1"/>
  <c r="C674" i="4"/>
  <c r="D674" i="4" s="1"/>
  <c r="C675" i="4"/>
  <c r="D675" i="4" s="1"/>
  <c r="C676" i="4"/>
  <c r="D676" i="4" s="1"/>
  <c r="C677" i="4"/>
  <c r="D677" i="4" s="1"/>
  <c r="C678" i="4"/>
  <c r="D678" i="4" s="1"/>
  <c r="C679" i="4"/>
  <c r="D679" i="4" s="1"/>
  <c r="C680" i="4"/>
  <c r="D680" i="4" s="1"/>
  <c r="C681" i="4"/>
  <c r="D681" i="4" s="1"/>
  <c r="C682" i="4"/>
  <c r="D682" i="4" s="1"/>
  <c r="C683" i="4"/>
  <c r="D683" i="4" s="1"/>
  <c r="C684" i="4"/>
  <c r="D684" i="4" s="1"/>
  <c r="C685" i="4"/>
  <c r="D685" i="4" s="1"/>
  <c r="C686" i="4"/>
  <c r="D686" i="4" s="1"/>
  <c r="C687" i="4"/>
  <c r="D687" i="4" s="1"/>
  <c r="C688" i="4"/>
  <c r="D688" i="4" s="1"/>
  <c r="C689" i="4"/>
  <c r="D689" i="4" s="1"/>
  <c r="C690" i="4"/>
  <c r="D690" i="4" s="1"/>
  <c r="C691" i="4"/>
  <c r="D691" i="4" s="1"/>
  <c r="C692" i="4"/>
  <c r="D692" i="4" s="1"/>
  <c r="C693" i="4"/>
  <c r="D693" i="4" s="1"/>
  <c r="C694" i="4"/>
  <c r="D694" i="4" s="1"/>
  <c r="C695" i="4"/>
  <c r="D695" i="4" s="1"/>
  <c r="C696" i="4"/>
  <c r="D696" i="4" s="1"/>
  <c r="C697" i="4"/>
  <c r="D697" i="4" s="1"/>
  <c r="C698" i="4"/>
  <c r="D698" i="4" s="1"/>
  <c r="C699" i="4"/>
  <c r="D699" i="4" s="1"/>
  <c r="C700" i="4"/>
  <c r="D700" i="4" s="1"/>
  <c r="C701" i="4"/>
  <c r="D701" i="4" s="1"/>
  <c r="F701" i="4" s="1"/>
  <c r="C702" i="4"/>
  <c r="D702" i="4" s="1"/>
  <c r="F702" i="4" s="1"/>
  <c r="C703" i="4"/>
  <c r="D703" i="4" s="1"/>
  <c r="F703" i="4" s="1"/>
  <c r="C704" i="4"/>
  <c r="D704" i="4" s="1"/>
  <c r="F704" i="4" s="1"/>
  <c r="C705" i="4"/>
  <c r="D705" i="4" s="1"/>
  <c r="F705" i="4" s="1"/>
  <c r="C706" i="4"/>
  <c r="D706" i="4" s="1"/>
  <c r="F706" i="4" s="1"/>
  <c r="C707" i="4"/>
  <c r="D707" i="4" s="1"/>
  <c r="F707" i="4" s="1"/>
  <c r="C708" i="4"/>
  <c r="D708" i="4" s="1"/>
  <c r="F708" i="4" s="1"/>
  <c r="C709" i="4"/>
  <c r="D709" i="4" s="1"/>
  <c r="F709" i="4" s="1"/>
  <c r="C710" i="4"/>
  <c r="D710" i="4" s="1"/>
  <c r="F710" i="4" s="1"/>
  <c r="C711" i="4"/>
  <c r="D711" i="4" s="1"/>
  <c r="F711" i="4" s="1"/>
  <c r="C712" i="4"/>
  <c r="D712" i="4" s="1"/>
  <c r="F712" i="4" s="1"/>
  <c r="C713" i="4"/>
  <c r="D713" i="4" s="1"/>
  <c r="F713" i="4" s="1"/>
  <c r="C714" i="4"/>
  <c r="D714" i="4" s="1"/>
  <c r="F714" i="4" s="1"/>
  <c r="C715" i="4"/>
  <c r="D715" i="4" s="1"/>
  <c r="F715" i="4" s="1"/>
  <c r="C716" i="4"/>
  <c r="D716" i="4" s="1"/>
  <c r="F716" i="4" s="1"/>
  <c r="C717" i="4"/>
  <c r="D717" i="4" s="1"/>
  <c r="F717" i="4" s="1"/>
  <c r="C718" i="4"/>
  <c r="D718" i="4" s="1"/>
  <c r="F718" i="4" s="1"/>
  <c r="C719" i="4"/>
  <c r="D719" i="4" s="1"/>
  <c r="F719" i="4" s="1"/>
  <c r="C720" i="4"/>
  <c r="D720" i="4" s="1"/>
  <c r="F720" i="4" s="1"/>
  <c r="C721" i="4"/>
  <c r="D721" i="4" s="1"/>
  <c r="F721" i="4" s="1"/>
  <c r="C722" i="4"/>
  <c r="D722" i="4" s="1"/>
  <c r="F722" i="4" s="1"/>
  <c r="C723" i="4"/>
  <c r="D723" i="4" s="1"/>
  <c r="F723" i="4" s="1"/>
  <c r="C724" i="4"/>
  <c r="D724" i="4" s="1"/>
  <c r="F724" i="4" s="1"/>
  <c r="C725" i="4"/>
  <c r="D725" i="4" s="1"/>
  <c r="F725" i="4" s="1"/>
  <c r="C726" i="4"/>
  <c r="D726" i="4" s="1"/>
  <c r="F726" i="4" s="1"/>
  <c r="C727" i="4"/>
  <c r="D727" i="4" s="1"/>
  <c r="F727" i="4" s="1"/>
  <c r="C728" i="4"/>
  <c r="D728" i="4" s="1"/>
  <c r="F728" i="4" s="1"/>
  <c r="C729" i="4"/>
  <c r="D729" i="4" s="1"/>
  <c r="F729" i="4" s="1"/>
  <c r="C730" i="4"/>
  <c r="D730" i="4" s="1"/>
  <c r="F730" i="4" s="1"/>
  <c r="C731" i="4"/>
  <c r="D731" i="4" s="1"/>
  <c r="F731" i="4" s="1"/>
  <c r="C2" i="4"/>
  <c r="D2" i="4" s="1"/>
  <c r="K13" i="4" l="1"/>
  <c r="I89" i="6"/>
  <c r="J89" i="6" s="1"/>
  <c r="P89" i="6" s="1"/>
  <c r="I90" i="6"/>
  <c r="J90" i="6" s="1"/>
  <c r="I88" i="6"/>
  <c r="J88" i="6" s="1"/>
  <c r="D3" i="2"/>
  <c r="D13" i="2"/>
  <c r="D23" i="2"/>
  <c r="D33" i="2"/>
  <c r="D43" i="2"/>
  <c r="D53" i="2"/>
  <c r="D63" i="2"/>
  <c r="D73" i="2"/>
  <c r="D83" i="2"/>
  <c r="D93" i="2"/>
  <c r="D103" i="2"/>
  <c r="D113" i="2"/>
  <c r="D123" i="2"/>
  <c r="D133" i="2"/>
  <c r="D143" i="2"/>
  <c r="D153" i="2"/>
  <c r="D163" i="2"/>
  <c r="D173" i="2"/>
  <c r="D183" i="2"/>
  <c r="D193" i="2"/>
  <c r="D203" i="2"/>
  <c r="D213" i="2"/>
  <c r="D223" i="2"/>
  <c r="D233" i="2"/>
  <c r="D243" i="2"/>
  <c r="D253" i="2"/>
  <c r="D263" i="2"/>
  <c r="D273" i="2"/>
  <c r="D283" i="2"/>
  <c r="D293" i="2"/>
  <c r="D303" i="2"/>
  <c r="D313" i="2"/>
  <c r="D323" i="2"/>
  <c r="D333" i="2"/>
  <c r="D343" i="2"/>
  <c r="D353" i="2"/>
  <c r="D363" i="2"/>
  <c r="D373" i="2"/>
  <c r="D383" i="2"/>
  <c r="D393" i="2"/>
  <c r="D403" i="2"/>
  <c r="D413" i="2"/>
  <c r="D423" i="2"/>
  <c r="D433" i="2"/>
  <c r="D443" i="2"/>
  <c r="D453" i="2"/>
  <c r="D463" i="2"/>
  <c r="D473" i="2"/>
  <c r="D483" i="2"/>
  <c r="D493" i="2"/>
  <c r="D503" i="2"/>
  <c r="D513" i="2"/>
  <c r="D523" i="2"/>
  <c r="D533" i="2"/>
  <c r="D543" i="2"/>
  <c r="D553" i="2"/>
  <c r="D563" i="2"/>
  <c r="D573" i="2"/>
  <c r="D583" i="2"/>
  <c r="D593" i="2"/>
  <c r="D603" i="2"/>
  <c r="D613" i="2"/>
  <c r="D623" i="2"/>
  <c r="D633" i="2"/>
  <c r="D643" i="2"/>
  <c r="D653" i="2"/>
  <c r="D663" i="2"/>
  <c r="D673" i="2"/>
  <c r="D683" i="2"/>
  <c r="D693" i="2"/>
  <c r="D703" i="2"/>
  <c r="E703" i="2" s="1"/>
  <c r="D713" i="2"/>
  <c r="E713" i="2" s="1"/>
  <c r="D723" i="2"/>
  <c r="E723" i="2" s="1"/>
  <c r="D18" i="2"/>
  <c r="D108" i="2"/>
  <c r="D148" i="2"/>
  <c r="D198" i="2"/>
  <c r="D248" i="2"/>
  <c r="D298" i="2"/>
  <c r="D348" i="2"/>
  <c r="D398" i="2"/>
  <c r="D448" i="2"/>
  <c r="D508" i="2"/>
  <c r="D558" i="2"/>
  <c r="D4" i="2"/>
  <c r="D14" i="2"/>
  <c r="D24" i="2"/>
  <c r="D34" i="2"/>
  <c r="D44" i="2"/>
  <c r="D54" i="2"/>
  <c r="D64" i="2"/>
  <c r="D74" i="2"/>
  <c r="D84" i="2"/>
  <c r="D94" i="2"/>
  <c r="D104" i="2"/>
  <c r="D114" i="2"/>
  <c r="D124" i="2"/>
  <c r="D134" i="2"/>
  <c r="D144" i="2"/>
  <c r="D154" i="2"/>
  <c r="D164" i="2"/>
  <c r="D174" i="2"/>
  <c r="D184" i="2"/>
  <c r="D194" i="2"/>
  <c r="D204" i="2"/>
  <c r="D214" i="2"/>
  <c r="D224" i="2"/>
  <c r="D234" i="2"/>
  <c r="D244" i="2"/>
  <c r="D254" i="2"/>
  <c r="D264" i="2"/>
  <c r="D274" i="2"/>
  <c r="D284" i="2"/>
  <c r="D294" i="2"/>
  <c r="D304" i="2"/>
  <c r="D314" i="2"/>
  <c r="D324" i="2"/>
  <c r="D334" i="2"/>
  <c r="D344" i="2"/>
  <c r="D354" i="2"/>
  <c r="D364" i="2"/>
  <c r="D374" i="2"/>
  <c r="D384" i="2"/>
  <c r="D394" i="2"/>
  <c r="D404" i="2"/>
  <c r="D414" i="2"/>
  <c r="D424" i="2"/>
  <c r="D434" i="2"/>
  <c r="D444" i="2"/>
  <c r="D454" i="2"/>
  <c r="D464" i="2"/>
  <c r="D474" i="2"/>
  <c r="D484" i="2"/>
  <c r="D494" i="2"/>
  <c r="D504" i="2"/>
  <c r="D514" i="2"/>
  <c r="D524" i="2"/>
  <c r="D534" i="2"/>
  <c r="D544" i="2"/>
  <c r="D554" i="2"/>
  <c r="D564" i="2"/>
  <c r="D574" i="2"/>
  <c r="D584" i="2"/>
  <c r="D594" i="2"/>
  <c r="D604" i="2"/>
  <c r="D614" i="2"/>
  <c r="D624" i="2"/>
  <c r="D634" i="2"/>
  <c r="D644" i="2"/>
  <c r="D654" i="2"/>
  <c r="D664" i="2"/>
  <c r="D674" i="2"/>
  <c r="D684" i="2"/>
  <c r="D694" i="2"/>
  <c r="D704" i="2"/>
  <c r="E704" i="2" s="1"/>
  <c r="D714" i="2"/>
  <c r="E714" i="2" s="1"/>
  <c r="D724" i="2"/>
  <c r="E724" i="2" s="1"/>
  <c r="D28" i="2"/>
  <c r="D88" i="2"/>
  <c r="D138" i="2"/>
  <c r="D188" i="2"/>
  <c r="D228" i="2"/>
  <c r="D278" i="2"/>
  <c r="D328" i="2"/>
  <c r="D368" i="2"/>
  <c r="D418" i="2"/>
  <c r="D468" i="2"/>
  <c r="D518" i="2"/>
  <c r="D548" i="2"/>
  <c r="D5" i="2"/>
  <c r="D15" i="2"/>
  <c r="D25" i="2"/>
  <c r="D35" i="2"/>
  <c r="D45" i="2"/>
  <c r="D55" i="2"/>
  <c r="D65" i="2"/>
  <c r="D75" i="2"/>
  <c r="D85" i="2"/>
  <c r="D95" i="2"/>
  <c r="D105" i="2"/>
  <c r="D115" i="2"/>
  <c r="D125" i="2"/>
  <c r="D135" i="2"/>
  <c r="D145" i="2"/>
  <c r="D155" i="2"/>
  <c r="D165" i="2"/>
  <c r="D175" i="2"/>
  <c r="D185" i="2"/>
  <c r="D195" i="2"/>
  <c r="D205" i="2"/>
  <c r="D215" i="2"/>
  <c r="D225" i="2"/>
  <c r="D235" i="2"/>
  <c r="D245" i="2"/>
  <c r="D255" i="2"/>
  <c r="D265" i="2"/>
  <c r="D275" i="2"/>
  <c r="D285" i="2"/>
  <c r="D295" i="2"/>
  <c r="D305" i="2"/>
  <c r="D315" i="2"/>
  <c r="D325" i="2"/>
  <c r="D335" i="2"/>
  <c r="D345" i="2"/>
  <c r="D355" i="2"/>
  <c r="D365" i="2"/>
  <c r="D375" i="2"/>
  <c r="D385" i="2"/>
  <c r="D395" i="2"/>
  <c r="D405" i="2"/>
  <c r="D415" i="2"/>
  <c r="D425" i="2"/>
  <c r="D435" i="2"/>
  <c r="D445" i="2"/>
  <c r="D455" i="2"/>
  <c r="D465" i="2"/>
  <c r="D475" i="2"/>
  <c r="D485" i="2"/>
  <c r="D495" i="2"/>
  <c r="D505" i="2"/>
  <c r="D515" i="2"/>
  <c r="D525" i="2"/>
  <c r="D535" i="2"/>
  <c r="D545" i="2"/>
  <c r="D555" i="2"/>
  <c r="D565" i="2"/>
  <c r="D575" i="2"/>
  <c r="D585" i="2"/>
  <c r="D595" i="2"/>
  <c r="D605" i="2"/>
  <c r="D615" i="2"/>
  <c r="D625" i="2"/>
  <c r="D635" i="2"/>
  <c r="D645" i="2"/>
  <c r="D655" i="2"/>
  <c r="D665" i="2"/>
  <c r="D675" i="2"/>
  <c r="D685" i="2"/>
  <c r="D695" i="2"/>
  <c r="D705" i="2"/>
  <c r="E705" i="2" s="1"/>
  <c r="D715" i="2"/>
  <c r="E715" i="2" s="1"/>
  <c r="D725" i="2"/>
  <c r="E725" i="2" s="1"/>
  <c r="D48" i="2"/>
  <c r="D98" i="2"/>
  <c r="D158" i="2"/>
  <c r="D208" i="2"/>
  <c r="D268" i="2"/>
  <c r="D318" i="2"/>
  <c r="D378" i="2"/>
  <c r="D428" i="2"/>
  <c r="D478" i="2"/>
  <c r="D528" i="2"/>
  <c r="D578" i="2"/>
  <c r="D6" i="2"/>
  <c r="D16" i="2"/>
  <c r="D26" i="2"/>
  <c r="D36" i="2"/>
  <c r="D46" i="2"/>
  <c r="D56" i="2"/>
  <c r="D66" i="2"/>
  <c r="D76" i="2"/>
  <c r="D86" i="2"/>
  <c r="D96" i="2"/>
  <c r="D106" i="2"/>
  <c r="D116" i="2"/>
  <c r="D126" i="2"/>
  <c r="D136" i="2"/>
  <c r="D146" i="2"/>
  <c r="D156" i="2"/>
  <c r="D166" i="2"/>
  <c r="D176" i="2"/>
  <c r="D186" i="2"/>
  <c r="D196" i="2"/>
  <c r="D206" i="2"/>
  <c r="D216" i="2"/>
  <c r="D226" i="2"/>
  <c r="D236" i="2"/>
  <c r="D246" i="2"/>
  <c r="D256" i="2"/>
  <c r="D266" i="2"/>
  <c r="D276" i="2"/>
  <c r="D286" i="2"/>
  <c r="D296" i="2"/>
  <c r="D306" i="2"/>
  <c r="D316" i="2"/>
  <c r="D326" i="2"/>
  <c r="D336" i="2"/>
  <c r="D346" i="2"/>
  <c r="D356" i="2"/>
  <c r="D366" i="2"/>
  <c r="D376" i="2"/>
  <c r="D386" i="2"/>
  <c r="D396" i="2"/>
  <c r="D406" i="2"/>
  <c r="D416" i="2"/>
  <c r="D426" i="2"/>
  <c r="D436" i="2"/>
  <c r="D446" i="2"/>
  <c r="D456" i="2"/>
  <c r="D466" i="2"/>
  <c r="D476" i="2"/>
  <c r="D486" i="2"/>
  <c r="D496" i="2"/>
  <c r="D506" i="2"/>
  <c r="D516" i="2"/>
  <c r="D526" i="2"/>
  <c r="D536" i="2"/>
  <c r="D546" i="2"/>
  <c r="D556" i="2"/>
  <c r="D566" i="2"/>
  <c r="D576" i="2"/>
  <c r="D586" i="2"/>
  <c r="D596" i="2"/>
  <c r="D606" i="2"/>
  <c r="D616" i="2"/>
  <c r="D626" i="2"/>
  <c r="D636" i="2"/>
  <c r="D646" i="2"/>
  <c r="D656" i="2"/>
  <c r="D666" i="2"/>
  <c r="D676" i="2"/>
  <c r="D686" i="2"/>
  <c r="D696" i="2"/>
  <c r="D706" i="2"/>
  <c r="E706" i="2" s="1"/>
  <c r="D716" i="2"/>
  <c r="E716" i="2" s="1"/>
  <c r="D726" i="2"/>
  <c r="E726" i="2" s="1"/>
  <c r="D8" i="2"/>
  <c r="D58" i="2"/>
  <c r="D68" i="2"/>
  <c r="D118" i="2"/>
  <c r="D178" i="2"/>
  <c r="D238" i="2"/>
  <c r="D288" i="2"/>
  <c r="D338" i="2"/>
  <c r="D388" i="2"/>
  <c r="D438" i="2"/>
  <c r="D488" i="2"/>
  <c r="D538" i="2"/>
  <c r="D7" i="2"/>
  <c r="D17" i="2"/>
  <c r="D27" i="2"/>
  <c r="D37" i="2"/>
  <c r="D47" i="2"/>
  <c r="D57" i="2"/>
  <c r="D67" i="2"/>
  <c r="D77" i="2"/>
  <c r="D87" i="2"/>
  <c r="D97" i="2"/>
  <c r="D107" i="2"/>
  <c r="D117" i="2"/>
  <c r="D127" i="2"/>
  <c r="D137" i="2"/>
  <c r="D147" i="2"/>
  <c r="D157" i="2"/>
  <c r="D167" i="2"/>
  <c r="D177" i="2"/>
  <c r="D187" i="2"/>
  <c r="D197" i="2"/>
  <c r="D207" i="2"/>
  <c r="D217" i="2"/>
  <c r="D227" i="2"/>
  <c r="D237" i="2"/>
  <c r="D247" i="2"/>
  <c r="D257" i="2"/>
  <c r="D267" i="2"/>
  <c r="D277" i="2"/>
  <c r="D287" i="2"/>
  <c r="D297" i="2"/>
  <c r="D307" i="2"/>
  <c r="D317" i="2"/>
  <c r="D327" i="2"/>
  <c r="D337" i="2"/>
  <c r="D347" i="2"/>
  <c r="D357" i="2"/>
  <c r="D367" i="2"/>
  <c r="D377" i="2"/>
  <c r="D387" i="2"/>
  <c r="D397" i="2"/>
  <c r="D407" i="2"/>
  <c r="D417" i="2"/>
  <c r="D427" i="2"/>
  <c r="D437" i="2"/>
  <c r="D447" i="2"/>
  <c r="D457" i="2"/>
  <c r="D467" i="2"/>
  <c r="D477" i="2"/>
  <c r="D487" i="2"/>
  <c r="D497" i="2"/>
  <c r="D507" i="2"/>
  <c r="D517" i="2"/>
  <c r="D527" i="2"/>
  <c r="D537" i="2"/>
  <c r="D547" i="2"/>
  <c r="D557" i="2"/>
  <c r="D567" i="2"/>
  <c r="D577" i="2"/>
  <c r="D587" i="2"/>
  <c r="D597" i="2"/>
  <c r="D607" i="2"/>
  <c r="D617" i="2"/>
  <c r="D627" i="2"/>
  <c r="D637" i="2"/>
  <c r="D647" i="2"/>
  <c r="D657" i="2"/>
  <c r="D667" i="2"/>
  <c r="D677" i="2"/>
  <c r="D687" i="2"/>
  <c r="D697" i="2"/>
  <c r="D707" i="2"/>
  <c r="E707" i="2" s="1"/>
  <c r="D717" i="2"/>
  <c r="E717" i="2" s="1"/>
  <c r="D727" i="2"/>
  <c r="E727" i="2" s="1"/>
  <c r="D38" i="2"/>
  <c r="D78" i="2"/>
  <c r="D128" i="2"/>
  <c r="D168" i="2"/>
  <c r="D218" i="2"/>
  <c r="D258" i="2"/>
  <c r="D308" i="2"/>
  <c r="D358" i="2"/>
  <c r="D408" i="2"/>
  <c r="D458" i="2"/>
  <c r="D498" i="2"/>
  <c r="D568" i="2"/>
  <c r="D9" i="2"/>
  <c r="D31" i="2"/>
  <c r="D59" i="2"/>
  <c r="D81" i="2"/>
  <c r="D109" i="2"/>
  <c r="D131" i="2"/>
  <c r="D159" i="2"/>
  <c r="D181" i="2"/>
  <c r="D209" i="2"/>
  <c r="D231" i="2"/>
  <c r="D259" i="2"/>
  <c r="D281" i="2"/>
  <c r="D309" i="2"/>
  <c r="D331" i="2"/>
  <c r="D359" i="2"/>
  <c r="D381" i="2"/>
  <c r="D409" i="2"/>
  <c r="D431" i="2"/>
  <c r="D459" i="2"/>
  <c r="D481" i="2"/>
  <c r="D509" i="2"/>
  <c r="D531" i="2"/>
  <c r="D559" i="2"/>
  <c r="D581" i="2"/>
  <c r="D601" i="2"/>
  <c r="D621" i="2"/>
  <c r="D641" i="2"/>
  <c r="D661" i="2"/>
  <c r="D681" i="2"/>
  <c r="D701" i="2"/>
  <c r="E701" i="2" s="1"/>
  <c r="D721" i="2"/>
  <c r="E721" i="2" s="1"/>
  <c r="D41" i="2"/>
  <c r="D541" i="2"/>
  <c r="D670" i="2"/>
  <c r="D42" i="2"/>
  <c r="D442" i="2"/>
  <c r="D611" i="2"/>
  <c r="D711" i="2"/>
  <c r="E711" i="2" s="1"/>
  <c r="D99" i="2"/>
  <c r="D349" i="2"/>
  <c r="D471" i="2"/>
  <c r="D549" i="2"/>
  <c r="D652" i="2"/>
  <c r="D50" i="2"/>
  <c r="D422" i="2"/>
  <c r="D618" i="2"/>
  <c r="D51" i="2"/>
  <c r="D401" i="2"/>
  <c r="D551" i="2"/>
  <c r="D659" i="2"/>
  <c r="D80" i="2"/>
  <c r="D252" i="2"/>
  <c r="D352" i="2"/>
  <c r="D430" i="2"/>
  <c r="D530" i="2"/>
  <c r="D620" i="2"/>
  <c r="D700" i="2"/>
  <c r="D10" i="2"/>
  <c r="D32" i="2"/>
  <c r="D60" i="2"/>
  <c r="D82" i="2"/>
  <c r="D110" i="2"/>
  <c r="D132" i="2"/>
  <c r="D160" i="2"/>
  <c r="D182" i="2"/>
  <c r="D210" i="2"/>
  <c r="D232" i="2"/>
  <c r="D260" i="2"/>
  <c r="D282" i="2"/>
  <c r="D310" i="2"/>
  <c r="D332" i="2"/>
  <c r="D360" i="2"/>
  <c r="D382" i="2"/>
  <c r="D410" i="2"/>
  <c r="D432" i="2"/>
  <c r="D460" i="2"/>
  <c r="D482" i="2"/>
  <c r="D510" i="2"/>
  <c r="D532" i="2"/>
  <c r="D560" i="2"/>
  <c r="D582" i="2"/>
  <c r="D602" i="2"/>
  <c r="D622" i="2"/>
  <c r="D642" i="2"/>
  <c r="D662" i="2"/>
  <c r="D682" i="2"/>
  <c r="D702" i="2"/>
  <c r="E702" i="2" s="1"/>
  <c r="D722" i="2"/>
  <c r="E722" i="2" s="1"/>
  <c r="D69" i="2"/>
  <c r="D569" i="2"/>
  <c r="D20" i="2"/>
  <c r="D142" i="2"/>
  <c r="D170" i="2"/>
  <c r="D192" i="2"/>
  <c r="D220" i="2"/>
  <c r="D242" i="2"/>
  <c r="D270" i="2"/>
  <c r="D342" i="2"/>
  <c r="D392" i="2"/>
  <c r="D492" i="2"/>
  <c r="D591" i="2"/>
  <c r="D691" i="2"/>
  <c r="D49" i="2"/>
  <c r="D421" i="2"/>
  <c r="D612" i="2"/>
  <c r="D2" i="2"/>
  <c r="K11" i="2" s="1"/>
  <c r="L11" i="2" s="1"/>
  <c r="D22" i="2"/>
  <c r="D150" i="2"/>
  <c r="D172" i="2"/>
  <c r="D200" i="2"/>
  <c r="D222" i="2"/>
  <c r="D250" i="2"/>
  <c r="D322" i="2"/>
  <c r="D400" i="2"/>
  <c r="D500" i="2"/>
  <c r="D598" i="2"/>
  <c r="D678" i="2"/>
  <c r="D79" i="2"/>
  <c r="D329" i="2"/>
  <c r="D479" i="2"/>
  <c r="D599" i="2"/>
  <c r="D699" i="2"/>
  <c r="D52" i="2"/>
  <c r="D330" i="2"/>
  <c r="D452" i="2"/>
  <c r="D552" i="2"/>
  <c r="D640" i="2"/>
  <c r="D720" i="2"/>
  <c r="E720" i="2" s="1"/>
  <c r="D11" i="2"/>
  <c r="D39" i="2"/>
  <c r="D61" i="2"/>
  <c r="D89" i="2"/>
  <c r="D111" i="2"/>
  <c r="D139" i="2"/>
  <c r="D161" i="2"/>
  <c r="D189" i="2"/>
  <c r="D211" i="2"/>
  <c r="D239" i="2"/>
  <c r="D261" i="2"/>
  <c r="D289" i="2"/>
  <c r="D311" i="2"/>
  <c r="D339" i="2"/>
  <c r="D361" i="2"/>
  <c r="D389" i="2"/>
  <c r="D411" i="2"/>
  <c r="D439" i="2"/>
  <c r="D461" i="2"/>
  <c r="D489" i="2"/>
  <c r="D511" i="2"/>
  <c r="D539" i="2"/>
  <c r="D561" i="2"/>
  <c r="D588" i="2"/>
  <c r="D608" i="2"/>
  <c r="D628" i="2"/>
  <c r="D648" i="2"/>
  <c r="D668" i="2"/>
  <c r="D688" i="2"/>
  <c r="D708" i="2"/>
  <c r="E708" i="2" s="1"/>
  <c r="D728" i="2"/>
  <c r="E728" i="2" s="1"/>
  <c r="D729" i="2"/>
  <c r="E729" i="2" s="1"/>
  <c r="D91" i="2"/>
  <c r="D590" i="2"/>
  <c r="D690" i="2"/>
  <c r="D92" i="2"/>
  <c r="D320" i="2"/>
  <c r="D470" i="2"/>
  <c r="D570" i="2"/>
  <c r="D671" i="2"/>
  <c r="D71" i="2"/>
  <c r="D371" i="2"/>
  <c r="D571" i="2"/>
  <c r="D692" i="2"/>
  <c r="D100" i="2"/>
  <c r="D300" i="2"/>
  <c r="D450" i="2"/>
  <c r="D572" i="2"/>
  <c r="D698" i="2"/>
  <c r="D129" i="2"/>
  <c r="D279" i="2"/>
  <c r="D379" i="2"/>
  <c r="D451" i="2"/>
  <c r="D529" i="2"/>
  <c r="D619" i="2"/>
  <c r="D679" i="2"/>
  <c r="D102" i="2"/>
  <c r="D202" i="2"/>
  <c r="D302" i="2"/>
  <c r="D402" i="2"/>
  <c r="D502" i="2"/>
  <c r="D600" i="2"/>
  <c r="D680" i="2"/>
  <c r="D12" i="2"/>
  <c r="D40" i="2"/>
  <c r="D62" i="2"/>
  <c r="D90" i="2"/>
  <c r="D112" i="2"/>
  <c r="D140" i="2"/>
  <c r="D162" i="2"/>
  <c r="D190" i="2"/>
  <c r="D212" i="2"/>
  <c r="D240" i="2"/>
  <c r="D262" i="2"/>
  <c r="D290" i="2"/>
  <c r="D312" i="2"/>
  <c r="D340" i="2"/>
  <c r="D362" i="2"/>
  <c r="D390" i="2"/>
  <c r="D412" i="2"/>
  <c r="D440" i="2"/>
  <c r="D462" i="2"/>
  <c r="D490" i="2"/>
  <c r="D512" i="2"/>
  <c r="D540" i="2"/>
  <c r="D562" i="2"/>
  <c r="D589" i="2"/>
  <c r="D609" i="2"/>
  <c r="D629" i="2"/>
  <c r="D649" i="2"/>
  <c r="D669" i="2"/>
  <c r="D689" i="2"/>
  <c r="D709" i="2"/>
  <c r="E709" i="2" s="1"/>
  <c r="D119" i="2"/>
  <c r="D491" i="2"/>
  <c r="D630" i="2"/>
  <c r="D710" i="2"/>
  <c r="E710" i="2" s="1"/>
  <c r="D120" i="2"/>
  <c r="D292" i="2"/>
  <c r="D420" i="2"/>
  <c r="D542" i="2"/>
  <c r="D651" i="2"/>
  <c r="D21" i="2"/>
  <c r="D149" i="2"/>
  <c r="D171" i="2"/>
  <c r="D199" i="2"/>
  <c r="D221" i="2"/>
  <c r="D249" i="2"/>
  <c r="D271" i="2"/>
  <c r="D321" i="2"/>
  <c r="D399" i="2"/>
  <c r="D499" i="2"/>
  <c r="D592" i="2"/>
  <c r="D672" i="2"/>
  <c r="D72" i="2"/>
  <c r="D350" i="2"/>
  <c r="D522" i="2"/>
  <c r="D638" i="2"/>
  <c r="D29" i="2"/>
  <c r="D151" i="2"/>
  <c r="D179" i="2"/>
  <c r="D201" i="2"/>
  <c r="D229" i="2"/>
  <c r="D251" i="2"/>
  <c r="D301" i="2"/>
  <c r="D351" i="2"/>
  <c r="D429" i="2"/>
  <c r="D501" i="2"/>
  <c r="D579" i="2"/>
  <c r="D639" i="2"/>
  <c r="D719" i="2"/>
  <c r="E719" i="2" s="1"/>
  <c r="D30" i="2"/>
  <c r="D130" i="2"/>
  <c r="D152" i="2"/>
  <c r="D180" i="2"/>
  <c r="D230" i="2"/>
  <c r="D280" i="2"/>
  <c r="D380" i="2"/>
  <c r="D480" i="2"/>
  <c r="D580" i="2"/>
  <c r="D660" i="2"/>
  <c r="D19" i="2"/>
  <c r="D141" i="2"/>
  <c r="D169" i="2"/>
  <c r="D191" i="2"/>
  <c r="D219" i="2"/>
  <c r="D241" i="2"/>
  <c r="D269" i="2"/>
  <c r="D291" i="2"/>
  <c r="D319" i="2"/>
  <c r="D341" i="2"/>
  <c r="D369" i="2"/>
  <c r="D391" i="2"/>
  <c r="D419" i="2"/>
  <c r="D441" i="2"/>
  <c r="D469" i="2"/>
  <c r="D519" i="2"/>
  <c r="D610" i="2"/>
  <c r="D650" i="2"/>
  <c r="D730" i="2"/>
  <c r="E730" i="2" s="1"/>
  <c r="D70" i="2"/>
  <c r="D370" i="2"/>
  <c r="D520" i="2"/>
  <c r="D631" i="2"/>
  <c r="D731" i="2"/>
  <c r="E731" i="2" s="1"/>
  <c r="D121" i="2"/>
  <c r="D299" i="2"/>
  <c r="D449" i="2"/>
  <c r="D521" i="2"/>
  <c r="D632" i="2"/>
  <c r="D712" i="2"/>
  <c r="E712" i="2" s="1"/>
  <c r="D122" i="2"/>
  <c r="D272" i="2"/>
  <c r="D372" i="2"/>
  <c r="D472" i="2"/>
  <c r="D550" i="2"/>
  <c r="D658" i="2"/>
  <c r="D718" i="2"/>
  <c r="E718" i="2" s="1"/>
  <c r="D101" i="2"/>
  <c r="K3" i="4"/>
  <c r="K6" i="4"/>
  <c r="K9" i="4"/>
  <c r="K5" i="4"/>
  <c r="K8" i="4"/>
  <c r="K4" i="4"/>
  <c r="K11" i="4"/>
  <c r="K7" i="4"/>
  <c r="K10" i="4"/>
  <c r="P15" i="5"/>
  <c r="P14" i="5"/>
  <c r="P13" i="5"/>
  <c r="P12" i="5"/>
  <c r="P11" i="5"/>
  <c r="P10" i="5"/>
  <c r="P9" i="5"/>
  <c r="N21" i="5" s="1"/>
  <c r="P8" i="5"/>
  <c r="N20" i="5" s="1"/>
  <c r="P7" i="5"/>
  <c r="N19" i="5" s="1"/>
  <c r="O6" i="5"/>
  <c r="N7" i="5" s="1"/>
  <c r="O7" i="5" s="1"/>
  <c r="N8" i="5" s="1"/>
  <c r="O8" i="5" s="1"/>
  <c r="N9" i="5" s="1"/>
  <c r="O9" i="5" s="1"/>
  <c r="N10" i="5" s="1"/>
  <c r="O10" i="5" s="1"/>
  <c r="N11" i="5" s="1"/>
  <c r="O11" i="5" s="1"/>
  <c r="N12" i="5" s="1"/>
  <c r="O12" i="5" s="1"/>
  <c r="N13" i="5" s="1"/>
  <c r="O13" i="5" s="1"/>
  <c r="N14" i="5" s="1"/>
  <c r="O14" i="5" s="1"/>
  <c r="N15" i="5" s="1"/>
  <c r="O15" i="5" s="1"/>
  <c r="O90" i="6" l="1"/>
  <c r="P90" i="6"/>
  <c r="O88" i="6"/>
  <c r="P88" i="6"/>
  <c r="O89" i="6"/>
  <c r="K13" i="2"/>
  <c r="L13" i="2" s="1"/>
  <c r="K21" i="2"/>
  <c r="L21" i="2" s="1"/>
  <c r="K15" i="2"/>
  <c r="L15" i="2" s="1"/>
  <c r="K16" i="2"/>
  <c r="L16" i="2" s="1"/>
  <c r="K20" i="2"/>
  <c r="L20" i="2" s="1"/>
  <c r="K12" i="2"/>
  <c r="L12" i="2" s="1"/>
  <c r="K17" i="2"/>
  <c r="L17" i="2" s="1"/>
  <c r="K19" i="2"/>
  <c r="L19" i="2" s="1"/>
  <c r="K18" i="2"/>
  <c r="L18" i="2" s="1"/>
  <c r="K14" i="2"/>
  <c r="L14" i="2" s="1"/>
  <c r="O19" i="5"/>
  <c r="P19" i="5" s="1"/>
  <c r="O21" i="5"/>
  <c r="P21" i="5" s="1"/>
  <c r="O20" i="5"/>
  <c r="P20" i="5" s="1"/>
  <c r="N18" i="5"/>
  <c r="O18" i="5" s="1"/>
  <c r="P18" i="5" s="1"/>
  <c r="N22" i="5"/>
  <c r="O22" i="5" s="1"/>
  <c r="P22" i="5" s="1"/>
  <c r="Q88" i="6" l="1"/>
  <c r="Q89" i="6"/>
  <c r="Q9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D32" authorId="0" shapeId="0" xr:uid="{8CE098DF-EFA4-B247-AF26-8563A942D038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34"/>
          </rPr>
          <t>denominator is 610 days: the effective operating window after build period ends (day 820) and before terminal demand decay begins (day 1430).</t>
        </r>
      </text>
    </comment>
    <comment ref="D33" authorId="0" shapeId="0" xr:uid="{DD974395-07C7-3243-A3E7-A8B3860DD9D3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With disciplined pre-building during trough phases, lost sales after day 820 can be largely avoided.</t>
        </r>
      </text>
    </comment>
    <comment ref="C51" authorId="0" shapeId="0" xr:uid="{3FEE4559-D6CC-C747-BAF7-48C09E6E4A44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Calopeia factory &gt;&gt; truck to Calopeia (same region) &gt;&gt; mail to customer (different region)</t>
        </r>
      </text>
    </comment>
    <comment ref="D51" authorId="0" shapeId="0" xr:uid="{DE0CCE76-7052-DD49-9B5E-40ED46DF916D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Local factory &gt;&gt; truck to local WH (same region) &gt;&gt; mail to customer (same region)</t>
        </r>
      </text>
    </comment>
    <comment ref="C60" authorId="0" shapeId="0" xr:uid="{A02A40D8-A2B5-174A-A273-D30895FFB19B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Calopeia factory &gt;&gt; truck to Calopeia (same region) &gt;&gt; mail to customer (different region)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D60" authorId="0" shapeId="0" xr:uid="{21457097-2AA3-3547-9313-B4CA3D3E0FB5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Calopeia factory &gt;&gt; truck to local WH (different region) &gt;&gt; mail to customer (same region)</t>
        </r>
      </text>
    </comment>
    <comment ref="I63" authorId="0" shapeId="0" xr:uid="{70F1A201-D4FD-4147-8A9C-C509E78C86E0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random 250-drum burst orders &gt;&gt; cannot pre-position inventory efficiently &gt;&gt; practical risk of idle inventory + holding costs &gt;&gt; thinner margin</t>
        </r>
      </text>
    </comment>
    <comment ref="I64" authorId="0" shapeId="0" xr:uid="{1D29D783-7314-C345-9908-BA3E8B0611F1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Replenishment lead time halved from 14 to 7 days (no cross-island shipping)
</t>
        </r>
        <r>
          <rPr>
            <sz val="10"/>
            <color rgb="FF000000"/>
            <rFont val="Tahoma"/>
            <family val="2"/>
          </rPr>
          <t>Lower safety stock requirement</t>
        </r>
      </text>
    </comment>
    <comment ref="E69" authorId="0" shapeId="0" xr:uid="{F395DDB9-4A1C-C34C-A760-4760F74EB0ED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all regional infrastructure under construction</t>
        </r>
      </text>
    </comment>
    <comment ref="E70" authorId="0" shapeId="0" xr:uid="{C1EAB57C-F24B-DE42-ABE8-95A08500DEB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Sorange, Tyran, Fardo warehouses ready; factories still upgrading</t>
        </r>
      </text>
    </comment>
    <comment ref="E73" authorId="0" shapeId="0" xr:uid="{16854ED6-3EAC-4346-8182-F873F2788A62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Fardo factory ready</t>
        </r>
      </text>
    </comment>
    <comment ref="D87" authorId="0" shapeId="0" xr:uid="{9C5FF000-6FF2-D848-A928-F9AC7E51D1B2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Production cost per drum = Setup cost/batch size + Variable cost</t>
        </r>
      </text>
    </comment>
    <comment ref="E87" authorId="0" shapeId="0" xr:uid="{3B98F265-504A-6D4A-9201-D6F74474FEF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Cu (underage cost)
</t>
        </r>
        <r>
          <rPr>
            <sz val="10"/>
            <color rgb="FF000000"/>
            <rFont val="Calibri"/>
            <family val="2"/>
            <scheme val="minor"/>
          </rPr>
          <t>= Revenue - Mail cost - Production cost/drum - Trucking cost/drum</t>
        </r>
      </text>
    </comment>
    <comment ref="F87" authorId="0" shapeId="0" xr:uid="{59DC2B3B-B29E-0E4D-971A-BF8523328421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H/year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= Holding cost</t>
        </r>
        <r>
          <rPr>
            <sz val="10"/>
            <color rgb="FF000000"/>
            <rFont val="Calibri"/>
            <family val="2"/>
            <scheme val="minor"/>
          </rPr>
          <t xml:space="preserve"> +</t>
        </r>
        <r>
          <rPr>
            <sz val="10"/>
            <color rgb="FF000000"/>
            <rFont val="Calibri"/>
            <family val="2"/>
            <scheme val="minor"/>
          </rPr>
          <t xml:space="preserve"> (</t>
        </r>
        <r>
          <rPr>
            <sz val="10"/>
            <color rgb="FF000000"/>
            <rFont val="Calibri"/>
            <family val="2"/>
            <scheme val="minor"/>
          </rPr>
          <t xml:space="preserve">Production cost/drum + Trucking cost/drum) * Interest rate
</t>
        </r>
        <r>
          <rPr>
            <sz val="10"/>
            <color rgb="FF000000"/>
            <rFont val="Tahoma"/>
            <family val="2"/>
          </rPr>
          <t>H/day = H/year / 365</t>
        </r>
      </text>
    </comment>
    <comment ref="G87" authorId="0" shapeId="0" xr:uid="{123858A7-6B11-A447-85A0-4EC078B3BB01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EOQ = SQRT(2 * D/day * Setup cost per batch / H/day)</t>
        </r>
      </text>
    </comment>
    <comment ref="H87" authorId="0" shapeId="0" xr:uid="{C70461A1-8EF0-FC4D-B3FF-67E00E9E0472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Large batches risk blocking other routes</t>
        </r>
      </text>
    </comment>
    <comment ref="I87" authorId="0" shapeId="0" xr:uid="{93897345-A348-1247-8729-DEDC67A230DB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With Calopeia factory serving 3 routes,</t>
        </r>
        <r>
          <rPr>
            <sz val="10"/>
            <color rgb="FF000000"/>
            <rFont val="Calibri"/>
            <family val="2"/>
            <scheme val="minor"/>
          </rPr>
          <t xml:space="preserve"> 
</t>
        </r>
        <r>
          <rPr>
            <sz val="10"/>
            <color rgb="FF000000"/>
            <rFont val="Calibri"/>
            <family val="2"/>
            <scheme val="minor"/>
          </rPr>
          <t>Wait time = Production time for Route B + Production time for Route C + Route A's own production time
= Sum of all three routes' production times</t>
        </r>
      </text>
    </comment>
    <comment ref="J87" authorId="0" shapeId="0" xr:uid="{C2B12E88-E7A8-7744-8B87-7AC67FA9447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Effective lead time = Adjusted production lead time + Shipping lead time</t>
        </r>
      </text>
    </comment>
    <comment ref="K87" authorId="0" shapeId="0" xr:uid="{73A4437B-C444-6745-B417-D507D3810348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Cycle length = Batch size / D/day</t>
        </r>
      </text>
    </comment>
    <comment ref="L87" authorId="0" shapeId="0" xr:uid="{EF7EB3E2-AB53-5845-B373-69D200DF3E5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Co = H/day * cycle length</t>
        </r>
      </text>
    </comment>
    <comment ref="M87" authorId="0" shapeId="0" xr:uid="{B75FA0FF-E08A-4F40-8D55-87005FAF21D3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SL = Cu / (Cu + Co)
</t>
        </r>
        <r>
          <rPr>
            <sz val="10"/>
            <color rgb="FF000000"/>
            <rFont val="Calibri"/>
            <family val="2"/>
          </rPr>
          <t xml:space="preserve">Service levels are high (82 - 99%) because Cu (lost margin $146 - $221/drum) vastly exceeds Co (holding cost per cycle $2.2 - $32.4/drum) 
</t>
        </r>
        <r>
          <rPr>
            <sz val="10"/>
            <color rgb="FF000000"/>
            <rFont val="Calibri"/>
            <family val="2"/>
          </rPr>
          <t>==&gt; stocking out is far more costly than holding extra inventory.</t>
        </r>
      </text>
    </comment>
    <comment ref="N87" authorId="0" shapeId="0" xr:uid="{6B2D552E-7BC8-044E-8FAA-9B0A6FCB778C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z = NORMSINV(SL)</t>
        </r>
      </text>
    </comment>
    <comment ref="O87" authorId="0" shapeId="0" xr:uid="{3F10288B-503E-044D-9B59-6E177974C9A0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Avg lead time demand = Effective LT * D/day</t>
        </r>
      </text>
    </comment>
    <comment ref="P87" authorId="0" shapeId="0" xr:uid="{0C21D6DC-3F0E-4D45-9891-472126324AAA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Safety stock = z * std * SQRT(Effective LT)</t>
        </r>
      </text>
    </comment>
    <comment ref="Q87" authorId="0" shapeId="0" xr:uid="{3519CA0A-9B94-4C4F-8BD0-6D906EDBED9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ROP = Avg lead time demand + Safety stock</t>
        </r>
      </text>
    </comment>
    <comment ref="C88" authorId="0" shapeId="0" xr:uid="{01F6C300-75F8-584C-9D76-3A6EB784F013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fulfills Calopeia &amp; Entworpe</t>
        </r>
      </text>
    </comment>
    <comment ref="H88" authorId="0" shapeId="0" xr:uid="{7C4CE08B-30F2-5148-8853-83FEC0F33D8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Entworpe 250-drum spikes need fast response</t>
        </r>
      </text>
    </comment>
    <comment ref="H89" authorId="0" shapeId="0" xr:uid="{E4A30290-FDA7-FD4D-8DDB-2AC72E82A0C7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Balance between EOQ and utilisation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C2" authorId="0" shapeId="0" xr:uid="{4593AFE0-4B27-1044-8E7E-16D0F28B0AAF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follow OLS forecast </t>
        </r>
      </text>
    </comment>
    <comment ref="M3" authorId="0" shapeId="0" xr:uid="{95C70F6A-3C30-B245-960E-D0E325C52AFD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Combined-route σ: sum of raw Calopeia + Entworpe daily demand first, then STDEV of the summed column. Window = day 670-730, since Entworpe has no valid demand before day 670.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M3" authorId="0" shapeId="0" xr:uid="{307F43FD-2B03-DB4B-A4B3-A3AEA416C6E9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must be the de-seasonalised overall average of Year 2 only - the most recent observation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Nguyen</author>
  </authors>
  <commentList>
    <comment ref="K21" authorId="0" shapeId="0" xr:uid="{EE61B503-0EE1-3340-A8C3-8BB7846486D8}">
      <text>
        <r>
          <rPr>
            <b/>
            <sz val="10"/>
            <color rgb="FF000000"/>
            <rFont val="Tahoma"/>
            <family val="2"/>
          </rPr>
          <t>Linh Nguyen: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Reduce buffer to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125 drums after day 1430, stop replenishing after day 1445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<sst xmlns="http://schemas.openxmlformats.org/spreadsheetml/2006/main" count="340" uniqueCount="174">
  <si>
    <t>day</t>
  </si>
  <si>
    <t>Calopeia</t>
  </si>
  <si>
    <t>Sorange</t>
  </si>
  <si>
    <t>Tyran</t>
  </si>
  <si>
    <t>Entworpe</t>
  </si>
  <si>
    <t>Fardo</t>
  </si>
  <si>
    <t>Overall average</t>
  </si>
  <si>
    <t>Phase</t>
  </si>
  <si>
    <t>Peak</t>
  </si>
  <si>
    <t>From</t>
  </si>
  <si>
    <t>To</t>
  </si>
  <si>
    <t>10 phases</t>
  </si>
  <si>
    <t>Step 1.</t>
  </si>
  <si>
    <t>day - 1st year</t>
  </si>
  <si>
    <t>day - 2nd year</t>
  </si>
  <si>
    <t>Step 2.</t>
  </si>
  <si>
    <t>Ramp up</t>
  </si>
  <si>
    <t>Decline</t>
  </si>
  <si>
    <t>Seasonal Index (SI)</t>
  </si>
  <si>
    <t>Phase Average</t>
  </si>
  <si>
    <t>1st Trough</t>
  </si>
  <si>
    <t>2nd Trough</t>
  </si>
  <si>
    <t>Trend level</t>
  </si>
  <si>
    <t>Forecast</t>
  </si>
  <si>
    <t>Avg. per phase</t>
  </si>
  <si>
    <t>Calopeia actual demand</t>
  </si>
  <si>
    <t>forecast - simple historical avg.</t>
  </si>
  <si>
    <t>Forecast Avg.</t>
  </si>
  <si>
    <t>from day 1430</t>
  </si>
  <si>
    <t>relative index</t>
  </si>
  <si>
    <t>forecast - seasonal</t>
  </si>
  <si>
    <t>forecast - linear regression</t>
  </si>
  <si>
    <t>forecast - day</t>
  </si>
  <si>
    <t>forecast - 3rd year</t>
  </si>
  <si>
    <t>forecast - 4th year</t>
  </si>
  <si>
    <t>total number of orders</t>
  </si>
  <si>
    <t>number of days</t>
  </si>
  <si>
    <t>average inter-arrival time</t>
  </si>
  <si>
    <t>underlying daily consumption rate</t>
  </si>
  <si>
    <t>Demand started day 640, stable by day 670 &gt;&gt; use only day 670 - 730 for our forecast</t>
  </si>
  <si>
    <t>Step 3.</t>
  </si>
  <si>
    <t>If we include the ramp-up days in the simple average &gt;&gt; underestimate the true long-run average because those early low values pull the mean down.</t>
  </si>
  <si>
    <t>Demand started ~0 on day 640 and gradually ramped up over ~30 days to reach its steady-state level.</t>
  </si>
  <si>
    <t>&gt;&gt; use only day 670 - 730 (after ramp-up completes) for the simple average</t>
  </si>
  <si>
    <t>forecast - inter-arrival time model</t>
  </si>
  <si>
    <t>Avg. Daily Demand Forecast</t>
  </si>
  <si>
    <t>Total/day</t>
  </si>
  <si>
    <t>Duration</t>
  </si>
  <si>
    <t>From day 1430</t>
  </si>
  <si>
    <t>TOTAL</t>
  </si>
  <si>
    <t>1. Minimum capacity from total demand</t>
  </si>
  <si>
    <t>Production</t>
  </si>
  <si>
    <t>Demand</t>
  </si>
  <si>
    <t>3. Minimum capacity needed after day 820</t>
  </si>
  <si>
    <t>Remaining demand</t>
  </si>
  <si>
    <t>Min capacity</t>
  </si>
  <si>
    <t>Safety buffer (10%)</t>
  </si>
  <si>
    <t>Orders/month</t>
  </si>
  <si>
    <t xml:space="preserve">+1 capacity cost </t>
  </si>
  <si>
    <t>Location</t>
  </si>
  <si>
    <t>Saving/drum</t>
  </si>
  <si>
    <t>Breakeven</t>
  </si>
  <si>
    <t xml:space="preserve">Calopeia follows a ~365-day seasonal cycle, stable with no long-run trend. </t>
  </si>
  <si>
    <t>Grows linearly from day 640 to day 1430, then decays to zero by day 1460.</t>
  </si>
  <si>
    <t>Same as Tyran</t>
  </si>
  <si>
    <t>Fixed order quantity (Q, R) policy: order exactly 250 drums when internal inventory hits reorder point</t>
  </si>
  <si>
    <t>Timing is random &gt;&gt; Maintain 250-drum standing buffer in Calopeia warehouse at all times.</t>
  </si>
  <si>
    <t>Total/phase</t>
  </si>
  <si>
    <t>+1 factory cost</t>
  </si>
  <si>
    <t>Transport savings &amp; Breakeven</t>
  </si>
  <si>
    <t>From Calopeia</t>
  </si>
  <si>
    <t>From local</t>
  </si>
  <si>
    <t>Net gain</t>
  </si>
  <si>
    <t>Decision</t>
  </si>
  <si>
    <t>Skip</t>
  </si>
  <si>
    <t>+1 warehouse cost</t>
  </si>
  <si>
    <t>Warehouse build time</t>
  </si>
  <si>
    <t xml:space="preserve">4. Transportation costs &amp; times  </t>
  </si>
  <si>
    <t>Same region</t>
  </si>
  <si>
    <t>Different regions on continent</t>
  </si>
  <si>
    <t>Between continent and Fardo</t>
  </si>
  <si>
    <t>truck</t>
  </si>
  <si>
    <t>mail</t>
  </si>
  <si>
    <t>cost</t>
  </si>
  <si>
    <t>time (days)</t>
  </si>
  <si>
    <t>Min capacity after day 820</t>
  </si>
  <si>
    <t>Total cost</t>
  </si>
  <si>
    <t>Further check</t>
  </si>
  <si>
    <t>WH only</t>
  </si>
  <si>
    <t>truck$/drum (batch of 200)</t>
  </si>
  <si>
    <t>mail$/drum</t>
  </si>
  <si>
    <t>Factory + WH beats</t>
  </si>
  <si>
    <t>5. New factory + warehouse decision</t>
  </si>
  <si>
    <t>6. New warehouse only decision</t>
  </si>
  <si>
    <t>7. Supply chain network structure</t>
  </si>
  <si>
    <t>without Fardo factory</t>
  </si>
  <si>
    <t>with Fardo factory</t>
  </si>
  <si>
    <t>Factory</t>
  </si>
  <si>
    <t>to WH</t>
  </si>
  <si>
    <t>fulfills</t>
  </si>
  <si>
    <t>period</t>
  </si>
  <si>
    <t>all 5 regions</t>
  </si>
  <si>
    <t>Day 730 - 790</t>
  </si>
  <si>
    <t>Day 790 - 820</t>
  </si>
  <si>
    <t>Calopeia, Entworpe, Fardo</t>
  </si>
  <si>
    <t>Calopeia, Entworpe</t>
  </si>
  <si>
    <t>Day 820 onward</t>
  </si>
  <si>
    <t>All fulfillment is by mail within 24 hours of order receipt. Factories ship to warehouses by truck.</t>
  </si>
  <si>
    <t>Key parameters</t>
  </si>
  <si>
    <t>Revenue per drum</t>
  </si>
  <si>
    <t>Variable production cost</t>
  </si>
  <si>
    <t>Setup cost per batch</t>
  </si>
  <si>
    <t>Holding cost</t>
  </si>
  <si>
    <t>Interest rate</t>
  </si>
  <si>
    <t>Truck capacity</t>
  </si>
  <si>
    <t>per drum</t>
  </si>
  <si>
    <t>per production run regardless of size</t>
  </si>
  <si>
    <t>per drum per year; whether in warehouse or in transit</t>
  </si>
  <si>
    <t>opportunity cost of cash tied up in inventory</t>
  </si>
  <si>
    <t>same cost whether full or partial</t>
  </si>
  <si>
    <t>Production cost/drum</t>
  </si>
  <si>
    <t>Profit margin/drum</t>
  </si>
  <si>
    <t>Holding cost/drum/day</t>
  </si>
  <si>
    <t>EOQ</t>
  </si>
  <si>
    <t>Practical batch</t>
  </si>
  <si>
    <t>Adjusted production lead time</t>
  </si>
  <si>
    <t>Effective LT</t>
  </si>
  <si>
    <t>Cycle length</t>
  </si>
  <si>
    <t>Overage cost per cycle</t>
  </si>
  <si>
    <t>Target service level</t>
  </si>
  <si>
    <t>z-score</t>
  </si>
  <si>
    <t>historical - day</t>
  </si>
  <si>
    <t>Avg. LT demand</t>
  </si>
  <si>
    <t>forecasted demand</t>
  </si>
  <si>
    <t>Day 791 - 1429</t>
  </si>
  <si>
    <t>Day 821 - 1429</t>
  </si>
  <si>
    <t>Factory build/Capacity expansion time (days)</t>
  </si>
  <si>
    <t>Fardo factory</t>
  </si>
  <si>
    <t>Remaining time +1 factory/capacity</t>
  </si>
  <si>
    <t>Remaining time +1 warehouse</t>
  </si>
  <si>
    <t>8. Reorder Point (ROP) from day 820 onward</t>
  </si>
  <si>
    <t>Safety Stock</t>
  </si>
  <si>
    <t>ROP</t>
  </si>
  <si>
    <t>AVERAGE after day 90 (or day 820 in forecast)</t>
  </si>
  <si>
    <t>STDEV after day 90 (or day 820 in forecast)</t>
  </si>
  <si>
    <t>average &amp; std of demand</t>
  </si>
  <si>
    <t>Always use truck for factory-to-warehouse transport.</t>
  </si>
  <si>
    <t>All orders fulfilled by mail. Warehouse must ship within 24 hours of order receipt or sale permanently lost ==&gt; must have stock on hand</t>
  </si>
  <si>
    <t>All regions: linear decay from day 1430 to day 1460</t>
  </si>
  <si>
    <t>Both factories: stop at day 1445</t>
  </si>
  <si>
    <t>Any drum produced after day 1445 arrives with near-zero demand - risks stranding at $1,000/drum variable cost, $0 value at day 1460</t>
  </si>
  <si>
    <t>Day</t>
  </si>
  <si>
    <t>Reduce all ROPs by 50%</t>
  </si>
  <si>
    <t>Action</t>
  </si>
  <si>
    <t>Stop all production at both factories</t>
  </si>
  <si>
    <t>Game ends</t>
  </si>
  <si>
    <r>
      <rPr>
        <b/>
        <sz val="12"/>
        <color theme="1"/>
        <rFont val="Calibri"/>
        <family val="2"/>
        <scheme val="minor"/>
      </rPr>
      <t>Critical rules:</t>
    </r>
    <r>
      <rPr>
        <sz val="12"/>
        <color theme="1"/>
        <rFont val="Calibri"/>
        <family val="2"/>
        <scheme val="minor"/>
      </rPr>
      <t xml:space="preserve">
All order fulfillment is by mail - cost depends on warehouse-to-customer distance
Factory-to-warehouse transport: truck OR mail
Truck carries 200 drums, same cost whether full or partial
Mail cost per drum: same region $150, continent $200, Fardo $400
Truck cost: same region $15k, continent $20k, Fardo $45k
Transit time truck: same region 7 days, continent 7 days, Fardo 14 days
Transit time mail: same region 1 day, continent 1 day, Fardo 2 days
Order must be shipped within 24 hours or lost - fulfilled from warehouse inventory by mail
Production batch cost: $1,500 + $1,000 * drums
Holding cost: $100/drum/year whether in warehouse or in transit
Interest: 10%/year compounded daily on cash</t>
    </r>
  </si>
  <si>
    <t>b (slope)</t>
  </si>
  <si>
    <t>a (intercept)</t>
  </si>
  <si>
    <t>OLS fit: day 640 - 730, t = day - 640 + 1</t>
  </si>
  <si>
    <t>combined route: Calopeia + Entworpe</t>
  </si>
  <si>
    <t>Calopeia + Entworpe</t>
  </si>
  <si>
    <t>std</t>
  </si>
  <si>
    <t>9. Cash Flow Feasibility</t>
  </si>
  <si>
    <t>10. End-of-life wind-down</t>
  </si>
  <si>
    <t>Starting-cash balance (at day 730)</t>
  </si>
  <si>
    <t>Remaining working capital</t>
  </si>
  <si>
    <t>Starting inventory (at day 730)</t>
  </si>
  <si>
    <t>Remaining inventory (at day 821)</t>
  </si>
  <si>
    <t>Original capacity</t>
  </si>
  <si>
    <t>2. Account for 90-day build period</t>
  </si>
  <si>
    <t>Expand the Calopeia</t>
  </si>
  <si>
    <t xml:space="preserve">Build Sorange &amp; Tyran warehouses </t>
  </si>
  <si>
    <t>Build the Fardo factory + capacity +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</si>
</sst>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E+00"/>
    <numFmt numFmtId="166" formatCode="_(* #,##0.0_);_(* \(#,##0.0\);_(* &quot;-&quot;??_);_(@_)"/>
    <numFmt numFmtId="167" formatCode="0.0%"/>
    <numFmt numFmtId="168" formatCode="0.0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Tahoma"/>
      <family val="34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BF1DE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1" applyNumberFormat="1" applyFont="1"/>
    <xf numFmtId="164" fontId="0" fillId="5" borderId="0" xfId="1" applyNumberFormat="1" applyFont="1" applyFill="1"/>
    <xf numFmtId="1" fontId="0" fillId="5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0" fontId="0" fillId="0" borderId="0" xfId="0" quotePrefix="1"/>
    <xf numFmtId="3" fontId="0" fillId="0" borderId="0" xfId="0" applyNumberFormat="1"/>
    <xf numFmtId="9" fontId="0" fillId="0" borderId="0" xfId="2" applyFont="1"/>
    <xf numFmtId="43" fontId="0" fillId="0" borderId="0" xfId="1" applyFont="1"/>
    <xf numFmtId="166" fontId="0" fillId="0" borderId="0" xfId="1" applyNumberFormat="1" applyFont="1"/>
    <xf numFmtId="167" fontId="0" fillId="0" borderId="0" xfId="2" applyNumberFormat="1" applyFont="1"/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4" xfId="1" applyNumberFormat="1" applyFont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0" fillId="0" borderId="5" xfId="1" applyNumberFormat="1" applyFont="1" applyBorder="1" applyAlignment="1">
      <alignment horizontal="left"/>
    </xf>
    <xf numFmtId="164" fontId="0" fillId="0" borderId="4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7" fillId="3" borderId="0" xfId="0" applyFont="1" applyFill="1"/>
    <xf numFmtId="168" fontId="0" fillId="0" borderId="0" xfId="0" applyNumberFormat="1"/>
    <xf numFmtId="0" fontId="7" fillId="6" borderId="0" xfId="0" applyFont="1" applyFill="1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1" fontId="7" fillId="0" borderId="0" xfId="1" applyNumberFormat="1" applyFont="1" applyFill="1" applyBorder="1" applyAlignment="1">
      <alignment horizontal="center"/>
    </xf>
    <xf numFmtId="1" fontId="0" fillId="4" borderId="0" xfId="0" applyNumberFormat="1" applyFill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Calopeia - Seasonal Demand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Calopeia!$P$17</c:f>
              <c:strCache>
                <c:ptCount val="1"/>
                <c:pt idx="0">
                  <c:v>Forecast Avg.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Calopeia!$P$18:$P$22</c:f>
              <c:numCache>
                <c:formatCode>0</c:formatCode>
                <c:ptCount val="5"/>
                <c:pt idx="0">
                  <c:v>16.529495073980069</c:v>
                </c:pt>
                <c:pt idx="1">
                  <c:v>46.092250657496905</c:v>
                </c:pt>
                <c:pt idx="2">
                  <c:v>67.906594503598825</c:v>
                </c:pt>
                <c:pt idx="3">
                  <c:v>48.252086681863425</c:v>
                </c:pt>
                <c:pt idx="4">
                  <c:v>14.329162124156674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4-9C42-9C7F-91D8E88B7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46031"/>
        <c:axId val="1459051072"/>
      </c:scatterChart>
      <c:valAx>
        <c:axId val="159764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51072"/>
        <c:crosses val="autoZero"/>
        <c:crossBetween val="midCat"/>
      </c:valAx>
      <c:valAx>
        <c:axId val="14590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4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</a:t>
            </a:r>
            <a:r>
              <a:rPr lang="en-US" baseline="0"/>
              <a:t>d from day 640 - 730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906014873140857"/>
                  <c:y val="-0.366886482939632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Sorange!$B$641:$B$731</c:f>
              <c:numCache>
                <c:formatCode>General</c:formatCode>
                <c:ptCount val="91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5</c:v>
                </c:pt>
                <c:pt idx="30">
                  <c:v>6</c:v>
                </c:pt>
                <c:pt idx="31">
                  <c:v>0</c:v>
                </c:pt>
                <c:pt idx="32">
                  <c:v>41</c:v>
                </c:pt>
                <c:pt idx="33">
                  <c:v>0</c:v>
                </c:pt>
                <c:pt idx="34">
                  <c:v>3</c:v>
                </c:pt>
                <c:pt idx="35">
                  <c:v>3</c:v>
                </c:pt>
                <c:pt idx="36">
                  <c:v>0</c:v>
                </c:pt>
                <c:pt idx="37">
                  <c:v>4</c:v>
                </c:pt>
                <c:pt idx="38">
                  <c:v>15</c:v>
                </c:pt>
                <c:pt idx="39">
                  <c:v>0</c:v>
                </c:pt>
                <c:pt idx="40">
                  <c:v>5</c:v>
                </c:pt>
                <c:pt idx="41">
                  <c:v>6</c:v>
                </c:pt>
                <c:pt idx="42">
                  <c:v>8</c:v>
                </c:pt>
                <c:pt idx="43">
                  <c:v>31</c:v>
                </c:pt>
                <c:pt idx="44">
                  <c:v>0</c:v>
                </c:pt>
                <c:pt idx="45">
                  <c:v>6</c:v>
                </c:pt>
                <c:pt idx="46">
                  <c:v>8</c:v>
                </c:pt>
                <c:pt idx="47">
                  <c:v>1</c:v>
                </c:pt>
                <c:pt idx="48">
                  <c:v>10</c:v>
                </c:pt>
                <c:pt idx="49">
                  <c:v>2</c:v>
                </c:pt>
                <c:pt idx="50">
                  <c:v>5</c:v>
                </c:pt>
                <c:pt idx="51">
                  <c:v>16</c:v>
                </c:pt>
                <c:pt idx="52">
                  <c:v>15</c:v>
                </c:pt>
                <c:pt idx="53">
                  <c:v>12</c:v>
                </c:pt>
                <c:pt idx="54">
                  <c:v>7</c:v>
                </c:pt>
                <c:pt idx="55">
                  <c:v>11</c:v>
                </c:pt>
                <c:pt idx="56">
                  <c:v>3</c:v>
                </c:pt>
                <c:pt idx="57">
                  <c:v>16</c:v>
                </c:pt>
                <c:pt idx="58">
                  <c:v>4</c:v>
                </c:pt>
                <c:pt idx="59">
                  <c:v>8</c:v>
                </c:pt>
                <c:pt idx="60">
                  <c:v>18</c:v>
                </c:pt>
                <c:pt idx="61">
                  <c:v>2</c:v>
                </c:pt>
                <c:pt idx="62">
                  <c:v>11</c:v>
                </c:pt>
                <c:pt idx="63">
                  <c:v>3</c:v>
                </c:pt>
                <c:pt idx="64">
                  <c:v>4</c:v>
                </c:pt>
                <c:pt idx="65">
                  <c:v>10</c:v>
                </c:pt>
                <c:pt idx="66">
                  <c:v>20</c:v>
                </c:pt>
                <c:pt idx="67">
                  <c:v>2</c:v>
                </c:pt>
                <c:pt idx="68">
                  <c:v>5</c:v>
                </c:pt>
                <c:pt idx="69">
                  <c:v>4</c:v>
                </c:pt>
                <c:pt idx="70">
                  <c:v>29</c:v>
                </c:pt>
                <c:pt idx="71">
                  <c:v>2</c:v>
                </c:pt>
                <c:pt idx="72">
                  <c:v>10</c:v>
                </c:pt>
                <c:pt idx="73">
                  <c:v>4</c:v>
                </c:pt>
                <c:pt idx="74">
                  <c:v>1</c:v>
                </c:pt>
                <c:pt idx="75">
                  <c:v>13</c:v>
                </c:pt>
                <c:pt idx="76">
                  <c:v>4</c:v>
                </c:pt>
                <c:pt idx="77">
                  <c:v>26</c:v>
                </c:pt>
                <c:pt idx="78">
                  <c:v>7</c:v>
                </c:pt>
                <c:pt idx="79">
                  <c:v>12</c:v>
                </c:pt>
                <c:pt idx="80">
                  <c:v>2</c:v>
                </c:pt>
                <c:pt idx="81">
                  <c:v>17</c:v>
                </c:pt>
                <c:pt idx="82">
                  <c:v>3</c:v>
                </c:pt>
                <c:pt idx="83">
                  <c:v>26</c:v>
                </c:pt>
                <c:pt idx="84">
                  <c:v>17</c:v>
                </c:pt>
                <c:pt idx="85">
                  <c:v>2</c:v>
                </c:pt>
                <c:pt idx="86">
                  <c:v>9</c:v>
                </c:pt>
                <c:pt idx="87">
                  <c:v>20</c:v>
                </c:pt>
                <c:pt idx="88">
                  <c:v>45</c:v>
                </c:pt>
                <c:pt idx="89">
                  <c:v>11</c:v>
                </c:pt>
                <c:pt idx="9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9-4249-A186-75245FBE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986000"/>
        <c:axId val="1011838143"/>
      </c:lineChart>
      <c:catAx>
        <c:axId val="36798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38143"/>
        <c:crosses val="autoZero"/>
        <c:auto val="1"/>
        <c:lblAlgn val="ctr"/>
        <c:lblOffset val="100"/>
        <c:noMultiLvlLbl val="0"/>
      </c:catAx>
      <c:valAx>
        <c:axId val="10118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8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15</xdr:row>
      <xdr:rowOff>0</xdr:rowOff>
    </xdr:from>
    <xdr:to>
      <xdr:col>19</xdr:col>
      <xdr:colOff>0</xdr:colOff>
      <xdr:row>36</xdr:row>
      <xdr:rowOff>107375</xdr:rowOff>
    </xdr:to>
    <xdr:pic>
      <xdr:nvPicPr>
        <xdr:cNvPr id="2" name="Picture 1" descr="screenshot of the supply chain game">
          <a:extLst>
            <a:ext uri="{FF2B5EF4-FFF2-40B4-BE49-F238E27FC236}">
              <a16:creationId xmlns:a16="http://schemas.microsoft.com/office/drawing/2014/main" id="{ECD8B6F3-8E14-1F47-B7D5-3DC2B046E0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81"/>
        <a:stretch>
          <a:fillRect/>
        </a:stretch>
      </xdr:blipFill>
      <xdr:spPr bwMode="auto">
        <a:xfrm>
          <a:off x="11442700" y="3060700"/>
          <a:ext cx="5930900" cy="437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20</xdr:col>
      <xdr:colOff>342900</xdr:colOff>
      <xdr:row>16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D17641-8F69-9E41-A33B-BD0D545A6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18</xdr:col>
      <xdr:colOff>444500</xdr:colOff>
      <xdr:row>14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D42DA5-9313-5D43-98A0-DCC44D754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FC5EFA-17D8-E647-A8CC-E0EA667CE6A9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890858b-32fa-458c-a92f-39ca2df731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C1FA-E7D3-304E-BE0B-B6153A8F2DD9}">
  <dimension ref="A1:S108"/>
  <sheetViews>
    <sheetView tabSelected="1" zoomScaleNormal="100" workbookViewId="0">
      <selection activeCell="E23" sqref="E23"/>
    </sheetView>
  </sheetViews>
  <sheetFormatPr baseColWidth="10" defaultRowHeight="16" x14ac:dyDescent="0.2"/>
  <cols>
    <col min="1" max="1" width="14.5" bestFit="1" customWidth="1"/>
    <col min="3" max="3" width="13" bestFit="1" customWidth="1"/>
    <col min="4" max="4" width="11.83203125" bestFit="1" customWidth="1"/>
    <col min="5" max="5" width="14" bestFit="1" customWidth="1"/>
    <col min="7" max="8" width="13.1640625" bestFit="1" customWidth="1"/>
    <col min="10" max="10" width="13.83203125" bestFit="1" customWidth="1"/>
    <col min="11" max="11" width="13.1640625" bestFit="1" customWidth="1"/>
    <col min="12" max="12" width="14" bestFit="1" customWidth="1"/>
    <col min="15" max="15" width="11.83203125" bestFit="1" customWidth="1"/>
    <col min="16" max="16" width="11" bestFit="1" customWidth="1"/>
    <col min="17" max="17" width="11.6640625" bestFit="1" customWidth="1"/>
  </cols>
  <sheetData>
    <row r="1" spans="1:19" x14ac:dyDescent="0.2">
      <c r="D1" s="48" t="s">
        <v>45</v>
      </c>
      <c r="E1" s="48"/>
      <c r="F1" s="48"/>
      <c r="G1" s="48"/>
      <c r="H1" s="48"/>
      <c r="I1" s="48"/>
      <c r="J1" s="10"/>
      <c r="M1" s="40" t="s">
        <v>156</v>
      </c>
      <c r="N1" s="41"/>
      <c r="O1" s="41"/>
      <c r="P1" s="41"/>
      <c r="Q1" s="41"/>
      <c r="R1" s="41"/>
      <c r="S1" s="42"/>
    </row>
    <row r="2" spans="1:19" x14ac:dyDescent="0.2">
      <c r="A2" t="s">
        <v>7</v>
      </c>
      <c r="B2" t="s">
        <v>9</v>
      </c>
      <c r="C2" t="s">
        <v>10</v>
      </c>
      <c r="D2" t="s">
        <v>1</v>
      </c>
      <c r="E2" t="s">
        <v>2</v>
      </c>
      <c r="F2" t="s">
        <v>3</v>
      </c>
      <c r="G2" t="s">
        <v>5</v>
      </c>
      <c r="H2" t="s">
        <v>4</v>
      </c>
      <c r="I2" t="s">
        <v>46</v>
      </c>
      <c r="J2" t="s">
        <v>47</v>
      </c>
      <c r="K2" t="s">
        <v>67</v>
      </c>
      <c r="M2" s="43"/>
      <c r="N2" s="39"/>
      <c r="O2" s="39"/>
      <c r="P2" s="39"/>
      <c r="Q2" s="39"/>
      <c r="R2" s="39"/>
      <c r="S2" s="44"/>
    </row>
    <row r="3" spans="1:19" x14ac:dyDescent="0.2">
      <c r="A3" s="3" t="s">
        <v>20</v>
      </c>
      <c r="B3">
        <f>731</f>
        <v>731</v>
      </c>
      <c r="C3">
        <f>B3+72</f>
        <v>803</v>
      </c>
      <c r="D3" s="2">
        <v>16.529495073980094</v>
      </c>
      <c r="E3" s="2">
        <v>19.644500000000001</v>
      </c>
      <c r="F3" s="2">
        <v>19.409836065573764</v>
      </c>
      <c r="G3" s="2">
        <v>15.70491803278688</v>
      </c>
      <c r="H3" s="2">
        <v>12.5</v>
      </c>
      <c r="I3" s="2">
        <f>SUM(D3:H3)</f>
        <v>83.788749172340744</v>
      </c>
      <c r="J3" s="2">
        <v>73</v>
      </c>
      <c r="K3" s="7">
        <f>I3*J3</f>
        <v>6116.5786895808742</v>
      </c>
      <c r="L3" s="12"/>
      <c r="M3" s="43"/>
      <c r="N3" s="39"/>
      <c r="O3" s="39"/>
      <c r="P3" s="39"/>
      <c r="Q3" s="39"/>
      <c r="R3" s="39"/>
      <c r="S3" s="44"/>
    </row>
    <row r="4" spans="1:19" x14ac:dyDescent="0.2">
      <c r="A4" s="3" t="s">
        <v>16</v>
      </c>
      <c r="B4">
        <f>C3+1</f>
        <v>804</v>
      </c>
      <c r="C4">
        <f>B4+72</f>
        <v>876</v>
      </c>
      <c r="D4" s="2">
        <v>46.092250657496947</v>
      </c>
      <c r="E4" s="2">
        <v>30.791599999999999</v>
      </c>
      <c r="F4" s="2">
        <v>19.409836065573764</v>
      </c>
      <c r="G4" s="2">
        <v>15.70491803278688</v>
      </c>
      <c r="H4" s="2">
        <v>12.5</v>
      </c>
      <c r="I4" s="2">
        <f t="shared" ref="I4:I13" si="0">SUM(D4:H4)</f>
        <v>124.4986047558576</v>
      </c>
      <c r="J4" s="2">
        <v>73</v>
      </c>
      <c r="K4" s="7">
        <f t="shared" ref="K4:K13" si="1">I4*J4</f>
        <v>9088.3981471776042</v>
      </c>
      <c r="M4" s="43"/>
      <c r="N4" s="39"/>
      <c r="O4" s="39"/>
      <c r="P4" s="39"/>
      <c r="Q4" s="39"/>
      <c r="R4" s="39"/>
      <c r="S4" s="44"/>
    </row>
    <row r="5" spans="1:19" x14ac:dyDescent="0.2">
      <c r="A5" s="3" t="s">
        <v>8</v>
      </c>
      <c r="B5">
        <f>C4+1</f>
        <v>877</v>
      </c>
      <c r="C5">
        <f t="shared" ref="C5:C11" si="2">B5+72</f>
        <v>949</v>
      </c>
      <c r="D5" s="2">
        <v>67.906594503598797</v>
      </c>
      <c r="E5" s="2">
        <v>41.938700000000004</v>
      </c>
      <c r="F5" s="2">
        <v>19.409836065573764</v>
      </c>
      <c r="G5" s="2">
        <v>15.70491803278688</v>
      </c>
      <c r="H5" s="2">
        <v>12.5</v>
      </c>
      <c r="I5" s="2">
        <f t="shared" si="0"/>
        <v>157.46004860195944</v>
      </c>
      <c r="J5" s="2">
        <v>73</v>
      </c>
      <c r="K5" s="7">
        <f t="shared" si="1"/>
        <v>11494.583547943039</v>
      </c>
      <c r="M5" s="43"/>
      <c r="N5" s="39"/>
      <c r="O5" s="39"/>
      <c r="P5" s="39"/>
      <c r="Q5" s="39"/>
      <c r="R5" s="39"/>
      <c r="S5" s="44"/>
    </row>
    <row r="6" spans="1:19" x14ac:dyDescent="0.2">
      <c r="A6" s="3" t="s">
        <v>17</v>
      </c>
      <c r="B6">
        <f t="shared" ref="B6:B13" si="3">C5+1</f>
        <v>950</v>
      </c>
      <c r="C6">
        <f t="shared" si="2"/>
        <v>1022</v>
      </c>
      <c r="D6" s="2">
        <v>48.252086681863474</v>
      </c>
      <c r="E6" s="2">
        <v>53.085799999999999</v>
      </c>
      <c r="F6" s="2">
        <v>19.409836065573764</v>
      </c>
      <c r="G6" s="2">
        <v>15.70491803278688</v>
      </c>
      <c r="H6" s="2">
        <v>12.5</v>
      </c>
      <c r="I6" s="2">
        <f t="shared" si="0"/>
        <v>148.9526407802241</v>
      </c>
      <c r="J6" s="2">
        <v>73</v>
      </c>
      <c r="K6" s="7">
        <f t="shared" si="1"/>
        <v>10873.542776956359</v>
      </c>
      <c r="M6" s="43"/>
      <c r="N6" s="39"/>
      <c r="O6" s="39"/>
      <c r="P6" s="39"/>
      <c r="Q6" s="39"/>
      <c r="R6" s="39"/>
      <c r="S6" s="44"/>
    </row>
    <row r="7" spans="1:19" x14ac:dyDescent="0.2">
      <c r="A7" s="3" t="s">
        <v>21</v>
      </c>
      <c r="B7">
        <f t="shared" si="3"/>
        <v>1023</v>
      </c>
      <c r="C7">
        <f t="shared" si="2"/>
        <v>1095</v>
      </c>
      <c r="D7" s="2">
        <v>14.329162124156689</v>
      </c>
      <c r="E7" s="2">
        <v>64.232900000000001</v>
      </c>
      <c r="F7" s="2">
        <v>19.409836065573764</v>
      </c>
      <c r="G7" s="2">
        <v>15.70491803278688</v>
      </c>
      <c r="H7" s="2">
        <v>12.5</v>
      </c>
      <c r="I7" s="2">
        <f t="shared" si="0"/>
        <v>126.17681622251732</v>
      </c>
      <c r="J7" s="2">
        <v>73</v>
      </c>
      <c r="K7" s="7">
        <f t="shared" si="1"/>
        <v>9210.9075842437633</v>
      </c>
      <c r="M7" s="43"/>
      <c r="N7" s="39"/>
      <c r="O7" s="39"/>
      <c r="P7" s="39"/>
      <c r="Q7" s="39"/>
      <c r="R7" s="39"/>
      <c r="S7" s="44"/>
    </row>
    <row r="8" spans="1:19" x14ac:dyDescent="0.2">
      <c r="A8" s="4" t="s">
        <v>20</v>
      </c>
      <c r="B8">
        <f t="shared" si="3"/>
        <v>1096</v>
      </c>
      <c r="C8">
        <f t="shared" si="2"/>
        <v>1168</v>
      </c>
      <c r="D8" s="2">
        <v>16.529495073980094</v>
      </c>
      <c r="E8" s="2">
        <v>75.38000000000001</v>
      </c>
      <c r="F8" s="2">
        <v>19.409836065573764</v>
      </c>
      <c r="G8" s="2">
        <v>15.70491803278688</v>
      </c>
      <c r="H8" s="2">
        <v>12.5</v>
      </c>
      <c r="I8" s="2">
        <f t="shared" si="0"/>
        <v>139.52424917234075</v>
      </c>
      <c r="J8" s="2">
        <v>73</v>
      </c>
      <c r="K8" s="7">
        <f t="shared" si="1"/>
        <v>10185.270189580875</v>
      </c>
      <c r="M8" s="43"/>
      <c r="N8" s="39"/>
      <c r="O8" s="39"/>
      <c r="P8" s="39"/>
      <c r="Q8" s="39"/>
      <c r="R8" s="39"/>
      <c r="S8" s="44"/>
    </row>
    <row r="9" spans="1:19" x14ac:dyDescent="0.2">
      <c r="A9" s="4" t="s">
        <v>16</v>
      </c>
      <c r="B9">
        <f t="shared" si="3"/>
        <v>1169</v>
      </c>
      <c r="C9">
        <f t="shared" si="2"/>
        <v>1241</v>
      </c>
      <c r="D9" s="2">
        <v>46.092250657496947</v>
      </c>
      <c r="E9" s="2">
        <v>86.527100000000004</v>
      </c>
      <c r="F9" s="2">
        <v>19.409836065573764</v>
      </c>
      <c r="G9" s="2">
        <v>15.70491803278688</v>
      </c>
      <c r="H9" s="2">
        <v>12.5</v>
      </c>
      <c r="I9" s="2">
        <f t="shared" si="0"/>
        <v>180.2341047558576</v>
      </c>
      <c r="J9" s="2">
        <v>73</v>
      </c>
      <c r="K9" s="7">
        <f t="shared" si="1"/>
        <v>13157.089647177605</v>
      </c>
      <c r="M9" s="43"/>
      <c r="N9" s="39"/>
      <c r="O9" s="39"/>
      <c r="P9" s="39"/>
      <c r="Q9" s="39"/>
      <c r="R9" s="39"/>
      <c r="S9" s="44"/>
    </row>
    <row r="10" spans="1:19" x14ac:dyDescent="0.2">
      <c r="A10" s="4" t="s">
        <v>8</v>
      </c>
      <c r="B10">
        <f t="shared" si="3"/>
        <v>1242</v>
      </c>
      <c r="C10">
        <f t="shared" si="2"/>
        <v>1314</v>
      </c>
      <c r="D10" s="2">
        <v>67.906594503598797</v>
      </c>
      <c r="E10" s="2">
        <v>97.674199999999999</v>
      </c>
      <c r="F10" s="2">
        <v>19.409836065573764</v>
      </c>
      <c r="G10" s="2">
        <v>15.70491803278688</v>
      </c>
      <c r="H10" s="2">
        <v>12.5</v>
      </c>
      <c r="I10" s="2">
        <f t="shared" si="0"/>
        <v>213.19554860195942</v>
      </c>
      <c r="J10" s="2">
        <v>73</v>
      </c>
      <c r="K10" s="7">
        <f t="shared" si="1"/>
        <v>15563.275047943038</v>
      </c>
      <c r="M10" s="43"/>
      <c r="N10" s="39"/>
      <c r="O10" s="39"/>
      <c r="P10" s="39"/>
      <c r="Q10" s="39"/>
      <c r="R10" s="39"/>
      <c r="S10" s="44"/>
    </row>
    <row r="11" spans="1:19" x14ac:dyDescent="0.2">
      <c r="A11" s="4" t="s">
        <v>17</v>
      </c>
      <c r="B11">
        <f t="shared" si="3"/>
        <v>1315</v>
      </c>
      <c r="C11">
        <f t="shared" si="2"/>
        <v>1387</v>
      </c>
      <c r="D11" s="2">
        <v>48.252086681863474</v>
      </c>
      <c r="E11" s="2">
        <v>108.82130000000001</v>
      </c>
      <c r="F11" s="2">
        <v>19.409836065573764</v>
      </c>
      <c r="G11" s="2">
        <v>15.70491803278688</v>
      </c>
      <c r="H11" s="2">
        <v>12.5</v>
      </c>
      <c r="I11" s="2">
        <f t="shared" si="0"/>
        <v>204.68814078022413</v>
      </c>
      <c r="J11" s="2">
        <v>73</v>
      </c>
      <c r="K11" s="7">
        <f t="shared" si="1"/>
        <v>14942.234276956362</v>
      </c>
      <c r="M11" s="43"/>
      <c r="N11" s="39"/>
      <c r="O11" s="39"/>
      <c r="P11" s="39"/>
      <c r="Q11" s="39"/>
      <c r="R11" s="39"/>
      <c r="S11" s="44"/>
    </row>
    <row r="12" spans="1:19" x14ac:dyDescent="0.2">
      <c r="A12" s="4" t="s">
        <v>21</v>
      </c>
      <c r="B12">
        <f t="shared" si="3"/>
        <v>1388</v>
      </c>
      <c r="C12">
        <f>B12+41</f>
        <v>1429</v>
      </c>
      <c r="D12" s="2">
        <v>14.329162124156673</v>
      </c>
      <c r="E12" s="2">
        <v>117.60154999999997</v>
      </c>
      <c r="F12" s="2">
        <v>19.409836065573781</v>
      </c>
      <c r="G12" s="2">
        <v>15.704918032786882</v>
      </c>
      <c r="H12" s="2">
        <v>12.5</v>
      </c>
      <c r="I12" s="2">
        <f t="shared" si="0"/>
        <v>179.54546622251732</v>
      </c>
      <c r="J12" s="2">
        <v>42</v>
      </c>
      <c r="K12" s="7">
        <f t="shared" si="1"/>
        <v>7540.909581345727</v>
      </c>
      <c r="M12" s="43"/>
      <c r="N12" s="39"/>
      <c r="O12" s="39"/>
      <c r="P12" s="39"/>
      <c r="Q12" s="39"/>
      <c r="R12" s="39"/>
      <c r="S12" s="44"/>
    </row>
    <row r="13" spans="1:19" x14ac:dyDescent="0.2">
      <c r="A13" s="6" t="s">
        <v>48</v>
      </c>
      <c r="B13">
        <f t="shared" si="3"/>
        <v>1430</v>
      </c>
      <c r="C13">
        <f>B13+30</f>
        <v>1460</v>
      </c>
      <c r="D13" s="2">
        <v>7.1645810620783363</v>
      </c>
      <c r="E13" s="2">
        <v>61.180349999999997</v>
      </c>
      <c r="F13" s="2">
        <v>9.7049180327868871</v>
      </c>
      <c r="G13" s="2">
        <v>7.8524590163934418</v>
      </c>
      <c r="H13" s="2">
        <v>6.25</v>
      </c>
      <c r="I13" s="2">
        <f t="shared" si="0"/>
        <v>92.152308111258662</v>
      </c>
      <c r="J13" s="2">
        <v>31</v>
      </c>
      <c r="K13" s="7">
        <f t="shared" si="1"/>
        <v>2856.7215514490185</v>
      </c>
      <c r="M13" s="43"/>
      <c r="N13" s="39"/>
      <c r="O13" s="39"/>
      <c r="P13" s="39"/>
      <c r="Q13" s="39"/>
      <c r="R13" s="39"/>
      <c r="S13" s="44"/>
    </row>
    <row r="14" spans="1:19" ht="17" thickBot="1" x14ac:dyDescent="0.25">
      <c r="H14" s="2" t="s">
        <v>49</v>
      </c>
      <c r="I14" s="2">
        <f>SUM(I3:I13)</f>
        <v>1650.2166771770571</v>
      </c>
      <c r="J14" s="2">
        <f>SUM(J3:J13)</f>
        <v>730</v>
      </c>
      <c r="K14" s="7">
        <f>SUM(K3:K13)</f>
        <v>111029.51104035426</v>
      </c>
      <c r="M14" s="45"/>
      <c r="N14" s="46"/>
      <c r="O14" s="46"/>
      <c r="P14" s="46"/>
      <c r="Q14" s="46"/>
      <c r="R14" s="46"/>
      <c r="S14" s="47"/>
    </row>
    <row r="15" spans="1:19" x14ac:dyDescent="0.2">
      <c r="I15" s="2"/>
    </row>
    <row r="17" spans="1:16" x14ac:dyDescent="0.2">
      <c r="A17" t="s">
        <v>50</v>
      </c>
      <c r="D17" s="7">
        <f>K14/J14</f>
        <v>152.09522060322502</v>
      </c>
    </row>
    <row r="18" spans="1:16" x14ac:dyDescent="0.2">
      <c r="A18" t="s">
        <v>170</v>
      </c>
    </row>
    <row r="19" spans="1:16" x14ac:dyDescent="0.2">
      <c r="B19" t="s">
        <v>169</v>
      </c>
      <c r="D19">
        <v>70</v>
      </c>
    </row>
    <row r="20" spans="1:16" x14ac:dyDescent="0.2">
      <c r="B20" t="s">
        <v>167</v>
      </c>
      <c r="D20" s="11">
        <v>2528</v>
      </c>
      <c r="E20" s="12"/>
    </row>
    <row r="21" spans="1:16" x14ac:dyDescent="0.2">
      <c r="B21" t="s">
        <v>51</v>
      </c>
      <c r="D21" s="7">
        <f>90*Original_capacity</f>
        <v>6300</v>
      </c>
    </row>
    <row r="22" spans="1:16" x14ac:dyDescent="0.2">
      <c r="B22" t="s">
        <v>52</v>
      </c>
      <c r="D22" s="7">
        <f>K3+I4*17</f>
        <v>8233.054970430454</v>
      </c>
      <c r="J22" s="12"/>
    </row>
    <row r="23" spans="1:16" x14ac:dyDescent="0.2">
      <c r="B23" t="s">
        <v>168</v>
      </c>
      <c r="D23" s="11">
        <f>Starting_Inventory+D21-D22</f>
        <v>594.94502956954602</v>
      </c>
      <c r="E23" s="12"/>
    </row>
    <row r="25" spans="1:16" x14ac:dyDescent="0.2">
      <c r="A25" t="s">
        <v>53</v>
      </c>
    </row>
    <row r="26" spans="1:16" x14ac:dyDescent="0.2">
      <c r="D26" t="s">
        <v>95</v>
      </c>
      <c r="E26" t="s">
        <v>96</v>
      </c>
      <c r="F26" t="s">
        <v>137</v>
      </c>
    </row>
    <row r="27" spans="1:16" x14ac:dyDescent="0.2">
      <c r="B27" t="s">
        <v>54</v>
      </c>
      <c r="D27" s="11">
        <f>K14-D22</f>
        <v>102796.45606992381</v>
      </c>
      <c r="E27" s="11">
        <f>D27-Forecast_from_day_821_Fardo</f>
        <v>93232.160987956653</v>
      </c>
      <c r="F27" s="7">
        <f>Forecast_from_day_821_Fardo</f>
        <v>9564.295081967146</v>
      </c>
      <c r="O27" s="11"/>
    </row>
    <row r="28" spans="1:16" x14ac:dyDescent="0.2">
      <c r="B28" t="s">
        <v>136</v>
      </c>
      <c r="D28" s="7">
        <v>90</v>
      </c>
      <c r="O28" s="12"/>
      <c r="P28" s="15"/>
    </row>
    <row r="29" spans="1:16" x14ac:dyDescent="0.2">
      <c r="B29" t="s">
        <v>138</v>
      </c>
      <c r="D29" s="11">
        <f>1430 - (730+90)</f>
        <v>610</v>
      </c>
      <c r="E29" s="11"/>
      <c r="O29" s="11"/>
    </row>
    <row r="30" spans="1:16" x14ac:dyDescent="0.2">
      <c r="B30" s="14" t="s">
        <v>76</v>
      </c>
      <c r="D30" s="7">
        <v>60</v>
      </c>
      <c r="L30" s="12"/>
    </row>
    <row r="31" spans="1:16" x14ac:dyDescent="0.2">
      <c r="B31" t="s">
        <v>139</v>
      </c>
      <c r="D31" s="11">
        <f>1430-(730+60)</f>
        <v>640</v>
      </c>
      <c r="E31" s="11"/>
      <c r="O31" s="11"/>
    </row>
    <row r="32" spans="1:16" x14ac:dyDescent="0.2">
      <c r="B32" t="s">
        <v>55</v>
      </c>
      <c r="D32" s="11">
        <f>D27/Remaining_time_factory_capacity</f>
        <v>168.51878044249804</v>
      </c>
      <c r="E32" s="11">
        <f>E27/Remaining_time_factory_capacity</f>
        <v>152.83960817697812</v>
      </c>
      <c r="F32" s="11">
        <f>F27/Remaining_time_factory_capacity</f>
        <v>15.679172265519911</v>
      </c>
    </row>
    <row r="33" spans="1:15" x14ac:dyDescent="0.2">
      <c r="B33" t="s">
        <v>56</v>
      </c>
      <c r="D33" s="11">
        <f>D32*1.1</f>
        <v>185.37065848674786</v>
      </c>
      <c r="E33" s="11">
        <f>E32*1.1</f>
        <v>168.12356899467594</v>
      </c>
      <c r="F33" s="11">
        <f>F32*1.1</f>
        <v>17.247089492071904</v>
      </c>
      <c r="J33" s="7"/>
    </row>
    <row r="34" spans="1:15" x14ac:dyDescent="0.2">
      <c r="D34" s="11"/>
      <c r="E34" s="11"/>
      <c r="J34" s="11"/>
    </row>
    <row r="35" spans="1:15" x14ac:dyDescent="0.2">
      <c r="A35" t="s">
        <v>77</v>
      </c>
      <c r="D35" s="11"/>
      <c r="E35" s="11"/>
    </row>
    <row r="36" spans="1:15" x14ac:dyDescent="0.2">
      <c r="B36" t="s">
        <v>146</v>
      </c>
      <c r="D36" s="11"/>
      <c r="E36" s="11"/>
    </row>
    <row r="37" spans="1:15" x14ac:dyDescent="0.2">
      <c r="B37" t="s">
        <v>147</v>
      </c>
      <c r="D37" s="11"/>
      <c r="E37" s="11"/>
    </row>
    <row r="38" spans="1:15" x14ac:dyDescent="0.2">
      <c r="D38" s="11"/>
      <c r="E38" s="11"/>
    </row>
    <row r="39" spans="1:15" x14ac:dyDescent="0.2">
      <c r="D39" s="49" t="s">
        <v>83</v>
      </c>
      <c r="E39" s="49"/>
      <c r="F39" s="48" t="s">
        <v>84</v>
      </c>
      <c r="G39" s="48"/>
      <c r="O39" s="11"/>
    </row>
    <row r="40" spans="1:15" x14ac:dyDescent="0.2">
      <c r="D40" s="11" t="s">
        <v>89</v>
      </c>
      <c r="E40" s="11" t="s">
        <v>90</v>
      </c>
      <c r="F40" t="s">
        <v>81</v>
      </c>
      <c r="G40" t="s">
        <v>82</v>
      </c>
    </row>
    <row r="41" spans="1:15" x14ac:dyDescent="0.2">
      <c r="B41" t="s">
        <v>78</v>
      </c>
      <c r="D41" s="11">
        <f>15000/200</f>
        <v>75</v>
      </c>
      <c r="E41" s="11">
        <v>150</v>
      </c>
      <c r="F41">
        <v>7</v>
      </c>
      <c r="G41">
        <v>1</v>
      </c>
    </row>
    <row r="42" spans="1:15" x14ac:dyDescent="0.2">
      <c r="B42" t="s">
        <v>79</v>
      </c>
      <c r="D42" s="11">
        <f>20000/200</f>
        <v>100</v>
      </c>
      <c r="E42" s="11">
        <v>200</v>
      </c>
      <c r="F42">
        <v>7</v>
      </c>
      <c r="G42">
        <v>1</v>
      </c>
      <c r="J42" s="11"/>
    </row>
    <row r="43" spans="1:15" x14ac:dyDescent="0.2">
      <c r="B43" t="s">
        <v>80</v>
      </c>
      <c r="D43" s="11">
        <f>45000/200</f>
        <v>225</v>
      </c>
      <c r="E43" s="11">
        <v>400</v>
      </c>
      <c r="F43">
        <v>14</v>
      </c>
      <c r="G43">
        <v>2</v>
      </c>
    </row>
    <row r="44" spans="1:15" x14ac:dyDescent="0.2">
      <c r="D44" s="11"/>
      <c r="E44" s="11"/>
    </row>
    <row r="45" spans="1:15" x14ac:dyDescent="0.2">
      <c r="A45" t="s">
        <v>92</v>
      </c>
    </row>
    <row r="46" spans="1:15" x14ac:dyDescent="0.2">
      <c r="B46" s="14" t="s">
        <v>68</v>
      </c>
      <c r="D46" s="7">
        <v>500000</v>
      </c>
    </row>
    <row r="47" spans="1:15" x14ac:dyDescent="0.2">
      <c r="B47" s="14" t="s">
        <v>58</v>
      </c>
      <c r="D47" s="7">
        <v>50000</v>
      </c>
    </row>
    <row r="48" spans="1:15" x14ac:dyDescent="0.2">
      <c r="B48" s="14" t="s">
        <v>75</v>
      </c>
      <c r="D48" s="7">
        <v>100000</v>
      </c>
    </row>
    <row r="49" spans="1:16" x14ac:dyDescent="0.2">
      <c r="D49" s="7"/>
      <c r="I49" s="12"/>
      <c r="P49" s="11"/>
    </row>
    <row r="50" spans="1:16" x14ac:dyDescent="0.2">
      <c r="B50" t="s">
        <v>69</v>
      </c>
      <c r="P50" s="11"/>
    </row>
    <row r="51" spans="1:16" x14ac:dyDescent="0.2">
      <c r="B51" t="s">
        <v>59</v>
      </c>
      <c r="C51" t="s">
        <v>70</v>
      </c>
      <c r="D51" t="s">
        <v>71</v>
      </c>
      <c r="E51" t="s">
        <v>60</v>
      </c>
      <c r="F51" t="s">
        <v>85</v>
      </c>
      <c r="G51" t="s">
        <v>86</v>
      </c>
      <c r="H51" t="s">
        <v>61</v>
      </c>
      <c r="I51" t="s">
        <v>23</v>
      </c>
      <c r="J51" t="s">
        <v>72</v>
      </c>
      <c r="K51" t="s">
        <v>73</v>
      </c>
    </row>
    <row r="52" spans="1:16" x14ac:dyDescent="0.2">
      <c r="B52" t="s">
        <v>2</v>
      </c>
      <c r="C52" s="11">
        <f>Trucking_cost_same_region+Mailing_cost_different_region</f>
        <v>275</v>
      </c>
      <c r="D52" s="11">
        <f>Trucking_cost_same_region+Mailing_cost_same_region</f>
        <v>225</v>
      </c>
      <c r="E52">
        <f>C52-D52</f>
        <v>50</v>
      </c>
      <c r="F52" s="7">
        <f>Forecast_from_day_821_Sorange/Remaining_time_factory_capacity</f>
        <v>74.165842425571583</v>
      </c>
      <c r="G52" s="7">
        <f>Factory_cost+Capacity_cost*F52+WH_cost</f>
        <v>4308292.1212785793</v>
      </c>
      <c r="H52" s="11">
        <f>G52/E52</f>
        <v>86165.84242557158</v>
      </c>
      <c r="I52" s="7">
        <f>Forecast_from_day_821_Sorange</f>
        <v>45241.163879598666</v>
      </c>
      <c r="J52" s="7">
        <f>(I52-H52)*E52</f>
        <v>-2046233.9272986457</v>
      </c>
      <c r="K52" t="s">
        <v>74</v>
      </c>
    </row>
    <row r="53" spans="1:16" x14ac:dyDescent="0.2">
      <c r="B53" t="s">
        <v>3</v>
      </c>
      <c r="C53" s="11">
        <f>Trucking_cost_same_region+Mailing_cost_different_region</f>
        <v>275</v>
      </c>
      <c r="D53" s="11">
        <f>Trucking_cost_same_region+Mailing_cost_same_region</f>
        <v>225</v>
      </c>
      <c r="E53">
        <f t="shared" ref="E53:E54" si="4">C53-D53</f>
        <v>50</v>
      </c>
      <c r="F53" s="7">
        <f>Forecast_from_day_821_Tyran/Remaining_time_factory_capacity</f>
        <v>19.378016662187413</v>
      </c>
      <c r="G53" s="7">
        <f>Factory_cost+Capacity_cost*F53+WH_cost</f>
        <v>1568900.8331093707</v>
      </c>
      <c r="H53" s="11">
        <f t="shared" ref="H53:H55" si="5">G53/E53</f>
        <v>31378.016662187412</v>
      </c>
      <c r="I53" s="7">
        <f>Forecast_from_day_821_Tyran</f>
        <v>11820.590163934321</v>
      </c>
      <c r="J53" s="7">
        <f t="shared" ref="J53:J55" si="6">(I53-H53)*E53</f>
        <v>-977871.32491265459</v>
      </c>
      <c r="K53" t="s">
        <v>74</v>
      </c>
    </row>
    <row r="54" spans="1:16" x14ac:dyDescent="0.2">
      <c r="B54" t="s">
        <v>4</v>
      </c>
      <c r="C54" s="11">
        <f>Trucking_cost_same_region+Mailing_cost_different_region</f>
        <v>275</v>
      </c>
      <c r="D54" s="11">
        <f>Trucking_cost_same_region+Mailing_cost_same_region</f>
        <v>225</v>
      </c>
      <c r="E54">
        <f t="shared" si="4"/>
        <v>50</v>
      </c>
      <c r="F54" s="7">
        <f>Forecast_from_day_821_Entworpe/Remaining_time_factory_capacity</f>
        <v>12.479508196721312</v>
      </c>
      <c r="G54" s="7">
        <f>Factory_cost+Capacity_cost*F54+WH_cost</f>
        <v>1223975.4098360655</v>
      </c>
      <c r="H54" s="11">
        <f t="shared" si="5"/>
        <v>24479.508196721308</v>
      </c>
      <c r="I54" s="7">
        <f>Forecast_from_day_821_Entworpe</f>
        <v>7612.5</v>
      </c>
      <c r="J54" s="7">
        <f t="shared" si="6"/>
        <v>-843350.40983606537</v>
      </c>
      <c r="K54" t="s">
        <v>74</v>
      </c>
    </row>
    <row r="55" spans="1:16" x14ac:dyDescent="0.2">
      <c r="B55" t="s">
        <v>5</v>
      </c>
      <c r="C55" s="11">
        <f>Trucking_cost_same_region+Mailing_cost_continent_Fardo</f>
        <v>475</v>
      </c>
      <c r="D55" s="11">
        <f>Trucking_cost_same_region+Mailing_cost_same_region</f>
        <v>225</v>
      </c>
      <c r="E55">
        <f>C55-D55</f>
        <v>250</v>
      </c>
      <c r="F55" s="7">
        <f>Forecast_from_day_821_Fardo/Remaining_time_factory_capacity</f>
        <v>15.679172265519911</v>
      </c>
      <c r="G55" s="7">
        <f>Factory_cost+Capacity_cost*F55+WH_cost</f>
        <v>1383958.6132759955</v>
      </c>
      <c r="H55" s="11">
        <f t="shared" si="5"/>
        <v>5535.834453103982</v>
      </c>
      <c r="I55" s="7">
        <f>Forecast_from_day_821_Fardo</f>
        <v>9564.295081967146</v>
      </c>
      <c r="J55" s="7">
        <f t="shared" si="6"/>
        <v>1007115.1572157909</v>
      </c>
      <c r="K55" s="16" t="s">
        <v>87</v>
      </c>
      <c r="L55" s="12"/>
    </row>
    <row r="57" spans="1:16" x14ac:dyDescent="0.2">
      <c r="A57" t="s">
        <v>93</v>
      </c>
    </row>
    <row r="59" spans="1:16" x14ac:dyDescent="0.2">
      <c r="B59" t="s">
        <v>69</v>
      </c>
    </row>
    <row r="60" spans="1:16" x14ac:dyDescent="0.2">
      <c r="B60" t="s">
        <v>59</v>
      </c>
      <c r="C60" t="s">
        <v>70</v>
      </c>
      <c r="D60" t="s">
        <v>71</v>
      </c>
      <c r="E60" t="s">
        <v>60</v>
      </c>
      <c r="F60" t="s">
        <v>61</v>
      </c>
      <c r="G60" t="s">
        <v>23</v>
      </c>
      <c r="H60" t="s">
        <v>72</v>
      </c>
      <c r="I60" t="s">
        <v>73</v>
      </c>
      <c r="K60" s="11"/>
    </row>
    <row r="61" spans="1:16" x14ac:dyDescent="0.2">
      <c r="B61" t="s">
        <v>2</v>
      </c>
      <c r="C61" s="11">
        <f>Trucking_cost_same_region+Mailing_cost_different_region</f>
        <v>275</v>
      </c>
      <c r="D61" s="11">
        <f>Trucking_cost_different_region+Mailing_cost_same_region</f>
        <v>250</v>
      </c>
      <c r="E61" s="11">
        <f>C61-D61</f>
        <v>25</v>
      </c>
      <c r="F61" s="11">
        <f>WH_cost/E61</f>
        <v>4000</v>
      </c>
      <c r="G61" s="7">
        <f>Forecast_from_day_791_Sorange</f>
        <v>46006.626134734834</v>
      </c>
      <c r="H61" s="7">
        <f>(G61-F61)*E61</f>
        <v>1050165.6533683708</v>
      </c>
      <c r="I61" t="s">
        <v>88</v>
      </c>
      <c r="K61" s="7"/>
    </row>
    <row r="62" spans="1:16" x14ac:dyDescent="0.2">
      <c r="B62" t="s">
        <v>3</v>
      </c>
      <c r="C62" s="11">
        <f>Trucking_cost_same_region+Mailing_cost_different_region</f>
        <v>275</v>
      </c>
      <c r="D62" s="11">
        <f>Trucking_cost_different_region+Mailing_cost_same_region</f>
        <v>250</v>
      </c>
      <c r="E62" s="11">
        <f t="shared" ref="E62:E64" si="7">C62-D62</f>
        <v>25</v>
      </c>
      <c r="F62" s="11">
        <f>WH_cost/E62</f>
        <v>4000</v>
      </c>
      <c r="G62" s="7">
        <f>Forecast_from_day_791_Tyran</f>
        <v>12402.885245901525</v>
      </c>
      <c r="H62" s="7">
        <f t="shared" ref="H62:H64" si="8">(G62-F62)*E62</f>
        <v>210072.13114753814</v>
      </c>
      <c r="I62" t="s">
        <v>88</v>
      </c>
    </row>
    <row r="63" spans="1:16" x14ac:dyDescent="0.2">
      <c r="B63" t="s">
        <v>4</v>
      </c>
      <c r="C63" s="11">
        <f>Trucking_cost_same_region+Mailing_cost_different_region</f>
        <v>275</v>
      </c>
      <c r="D63" s="11">
        <f>Trucking_cost_different_region+Mailing_cost_same_region</f>
        <v>250</v>
      </c>
      <c r="E63" s="11">
        <f t="shared" si="7"/>
        <v>25</v>
      </c>
      <c r="F63" s="11">
        <f>WH_cost/E63</f>
        <v>4000</v>
      </c>
      <c r="G63" s="7">
        <f>Forecast_from_day_791_Entworpe</f>
        <v>7987.5</v>
      </c>
      <c r="H63" s="7">
        <f t="shared" si="8"/>
        <v>99687.5</v>
      </c>
      <c r="I63" t="s">
        <v>74</v>
      </c>
    </row>
    <row r="64" spans="1:16" x14ac:dyDescent="0.2">
      <c r="B64" t="s">
        <v>5</v>
      </c>
      <c r="C64" s="11">
        <f>Trucking_cost_same_region+Mailing_cost_continent_Fardo</f>
        <v>475</v>
      </c>
      <c r="D64" s="11">
        <f>Trucking_cost_continent_Fardo+Mailing_cost_same_region</f>
        <v>375</v>
      </c>
      <c r="E64" s="11">
        <f t="shared" si="7"/>
        <v>100</v>
      </c>
      <c r="F64" s="11">
        <f>WH_cost/E64</f>
        <v>1000</v>
      </c>
      <c r="G64" s="7">
        <f>Forecast_from_day_791_Fardo</f>
        <v>10035.442622950748</v>
      </c>
      <c r="H64" s="7">
        <f t="shared" si="8"/>
        <v>903544.26229507476</v>
      </c>
      <c r="I64" s="16" t="s">
        <v>91</v>
      </c>
    </row>
    <row r="66" spans="1:12" x14ac:dyDescent="0.2">
      <c r="A66" t="s">
        <v>94</v>
      </c>
    </row>
    <row r="67" spans="1:12" x14ac:dyDescent="0.2">
      <c r="B67" t="s">
        <v>107</v>
      </c>
    </row>
    <row r="68" spans="1:12" x14ac:dyDescent="0.2">
      <c r="B68" t="s">
        <v>97</v>
      </c>
      <c r="C68" t="s">
        <v>98</v>
      </c>
      <c r="D68" t="s">
        <v>99</v>
      </c>
      <c r="E68" t="s">
        <v>100</v>
      </c>
    </row>
    <row r="69" spans="1:12" x14ac:dyDescent="0.2">
      <c r="B69" t="s">
        <v>1</v>
      </c>
      <c r="C69" t="s">
        <v>1</v>
      </c>
      <c r="D69" t="s">
        <v>101</v>
      </c>
      <c r="E69" t="s">
        <v>102</v>
      </c>
    </row>
    <row r="70" spans="1:12" x14ac:dyDescent="0.2">
      <c r="B70" s="39" t="s">
        <v>1</v>
      </c>
      <c r="C70" t="s">
        <v>1</v>
      </c>
      <c r="D70" t="s">
        <v>104</v>
      </c>
      <c r="E70" s="39" t="s">
        <v>103</v>
      </c>
    </row>
    <row r="71" spans="1:12" x14ac:dyDescent="0.2">
      <c r="B71" s="39"/>
      <c r="C71" t="s">
        <v>2</v>
      </c>
      <c r="D71" t="s">
        <v>2</v>
      </c>
      <c r="E71" s="39"/>
    </row>
    <row r="72" spans="1:12" x14ac:dyDescent="0.2">
      <c r="B72" s="39"/>
      <c r="C72" t="s">
        <v>3</v>
      </c>
      <c r="D72" t="s">
        <v>3</v>
      </c>
      <c r="E72" s="39"/>
    </row>
    <row r="73" spans="1:12" x14ac:dyDescent="0.2">
      <c r="B73" s="39" t="s">
        <v>1</v>
      </c>
      <c r="C73" t="s">
        <v>1</v>
      </c>
      <c r="D73" t="s">
        <v>105</v>
      </c>
      <c r="E73" s="39" t="s">
        <v>106</v>
      </c>
    </row>
    <row r="74" spans="1:12" x14ac:dyDescent="0.2">
      <c r="B74" s="39"/>
      <c r="C74" t="s">
        <v>2</v>
      </c>
      <c r="D74" t="s">
        <v>2</v>
      </c>
      <c r="E74" s="39"/>
    </row>
    <row r="75" spans="1:12" x14ac:dyDescent="0.2">
      <c r="B75" s="39"/>
      <c r="C75" t="s">
        <v>3</v>
      </c>
      <c r="D75" t="s">
        <v>3</v>
      </c>
      <c r="E75" s="39"/>
    </row>
    <row r="76" spans="1:12" x14ac:dyDescent="0.2">
      <c r="B76" t="s">
        <v>5</v>
      </c>
      <c r="C76" t="s">
        <v>5</v>
      </c>
      <c r="D76" t="s">
        <v>5</v>
      </c>
      <c r="E76" s="39"/>
    </row>
    <row r="77" spans="1:12" x14ac:dyDescent="0.2">
      <c r="L77" s="7"/>
    </row>
    <row r="78" spans="1:12" x14ac:dyDescent="0.2">
      <c r="A78" t="s">
        <v>140</v>
      </c>
      <c r="L78" s="12"/>
    </row>
    <row r="79" spans="1:12" x14ac:dyDescent="0.2">
      <c r="B79" t="s">
        <v>108</v>
      </c>
      <c r="L79" s="12"/>
    </row>
    <row r="80" spans="1:12" x14ac:dyDescent="0.2">
      <c r="B80" t="s">
        <v>109</v>
      </c>
      <c r="C80" s="7">
        <v>1450</v>
      </c>
    </row>
    <row r="81" spans="1:17" x14ac:dyDescent="0.2">
      <c r="B81" t="s">
        <v>110</v>
      </c>
      <c r="C81" s="7">
        <v>1000</v>
      </c>
      <c r="D81" t="s">
        <v>115</v>
      </c>
    </row>
    <row r="82" spans="1:17" x14ac:dyDescent="0.2">
      <c r="B82" t="s">
        <v>111</v>
      </c>
      <c r="C82" s="7">
        <v>1500</v>
      </c>
      <c r="D82" t="s">
        <v>116</v>
      </c>
    </row>
    <row r="83" spans="1:17" x14ac:dyDescent="0.2">
      <c r="B83" t="s">
        <v>112</v>
      </c>
      <c r="C83" s="7">
        <v>100</v>
      </c>
      <c r="D83" t="s">
        <v>117</v>
      </c>
    </row>
    <row r="84" spans="1:17" x14ac:dyDescent="0.2">
      <c r="B84" t="s">
        <v>113</v>
      </c>
      <c r="C84" s="18">
        <v>0.1</v>
      </c>
      <c r="D84" t="s">
        <v>118</v>
      </c>
    </row>
    <row r="85" spans="1:17" x14ac:dyDescent="0.2">
      <c r="B85" t="s">
        <v>114</v>
      </c>
      <c r="C85" s="7">
        <v>200</v>
      </c>
      <c r="D85" t="s">
        <v>119</v>
      </c>
    </row>
    <row r="87" spans="1:17" x14ac:dyDescent="0.2">
      <c r="B87" t="s">
        <v>97</v>
      </c>
      <c r="C87" t="s">
        <v>98</v>
      </c>
      <c r="D87" t="s">
        <v>120</v>
      </c>
      <c r="E87" t="s">
        <v>121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130</v>
      </c>
      <c r="O87" t="s">
        <v>132</v>
      </c>
      <c r="P87" t="s">
        <v>141</v>
      </c>
      <c r="Q87" t="s">
        <v>142</v>
      </c>
    </row>
    <row r="88" spans="1:17" x14ac:dyDescent="0.2">
      <c r="B88" s="39" t="s">
        <v>1</v>
      </c>
      <c r="C88" t="s">
        <v>1</v>
      </c>
      <c r="D88" s="7">
        <f>Setup_cost_per_batch/Practical_batch_Calopeia+Variable_production_cost</f>
        <v>1007.5</v>
      </c>
      <c r="E88" s="18">
        <f>Revenue_per_drum-Production_cost_per_drum_Calopeia-Trucking_cost_same_region-Mailing_cost_same_region</f>
        <v>217.5</v>
      </c>
      <c r="F88" s="17">
        <f>(Holding_cost+(Production_cost_per_drum_Calopeia+Trucking_cost_same_region)*0.1)/365</f>
        <v>0.57054794520547947</v>
      </c>
      <c r="G88" s="7">
        <f>SQRT(2 * (Avg_demand_per_day_Calopeia + Avg_demand_per_day_Entworpe) * Setup_cost_per_batch / Holding_cost_per_drum_day_Calopeia)</f>
        <v>533.59636276029141</v>
      </c>
      <c r="H88">
        <v>200</v>
      </c>
      <c r="I88" s="7">
        <f>Practical_batch_Calopeia/Calopeia_capacity_buffer+Practical_batch_Sorange/Calopeia_capacity_buffer+Practical_batch_Tyran/Calopeia_capacity_buffer</f>
        <v>5.9480060171198694</v>
      </c>
      <c r="J88" s="7">
        <f>Adj_prod_LT_Calopeia+Truck_time_same_region</f>
        <v>12.948006017119869</v>
      </c>
      <c r="K88" s="7">
        <f>Practical_batch_Calopeia/(Avg_demand_per_day_Calopeia+Avg_demand_per_day_Entworpe)</f>
        <v>3.6934598608235452</v>
      </c>
      <c r="L88" s="18">
        <f>Holding_cost_per_drum_day_Calopeia*Cycle_length_Calopeia</f>
        <v>2.1072959342917899</v>
      </c>
      <c r="M88" s="19">
        <f>Cu_Calopeia/(Cu_Calopeia+Co_Calopeia)</f>
        <v>0.99040425353207617</v>
      </c>
      <c r="N88" s="18">
        <f>NORMSINV(SL_Calopeia)</f>
        <v>2.3417903297749398</v>
      </c>
      <c r="O88" s="7">
        <f>(Avg_demand_per_day_Calopeia+Avg_demand_per_day_Entworpe)*Effective_LT_Calopeia</f>
        <v>701.13154088712918</v>
      </c>
      <c r="P88" s="7">
        <f>std_Calopeia_WH*z_Calopeia*SQRT(Effective_LT_Calopeia)</f>
        <v>470.02827489542318</v>
      </c>
      <c r="Q88" s="7">
        <f>Avg_LT_demand_Calopeia+SS_Calopeia</f>
        <v>1171.1598157825524</v>
      </c>
    </row>
    <row r="89" spans="1:17" x14ac:dyDescent="0.2">
      <c r="B89" s="39"/>
      <c r="C89" t="s">
        <v>2</v>
      </c>
      <c r="D89" s="7">
        <f>Setup_cost_per_batch/Practical_batch_Sorange+Variable_production_cost</f>
        <v>1003.75</v>
      </c>
      <c r="E89" s="18">
        <f>Revenue_per_drum-Production_cost_per_drum_Sorange-Trucking_cost_different_region-Mailing_cost_different_region</f>
        <v>146.25</v>
      </c>
      <c r="F89" s="17">
        <f>(Holding_cost+(Production_cost_per_drum_Sorange+Trucking_cost_different_region)*0.1)/365</f>
        <v>0.57636986301369864</v>
      </c>
      <c r="G89" s="7">
        <f>SQRT(2 * Avg_demand_per_day_Sorange * Setup_cost_per_batch / Holding_cost_per_drum_day_Sorange)</f>
        <v>621.82507845933253</v>
      </c>
      <c r="H89">
        <v>400</v>
      </c>
      <c r="I89" s="7">
        <f>Practical_batch_Calopeia/Calopeia_capacity_buffer+Practical_batch_Sorange/Calopeia_capacity_buffer+Practical_batch_Tyran/Calopeia_capacity_buffer</f>
        <v>5.9480060171198694</v>
      </c>
      <c r="J89" s="7">
        <f>Adj_prod_LT_Sorange+Truck_time_different_region</f>
        <v>12.948006017119869</v>
      </c>
      <c r="K89" s="7">
        <f>Practical_batch_Sorange/Avg_demand_per_day_Sorange</f>
        <v>5.3844768593553036</v>
      </c>
      <c r="L89" s="18">
        <f>Holding_cost_per_drum_day_Sorange*Cycle_length_Sorange</f>
        <v>3.1034501898270466</v>
      </c>
      <c r="M89" s="19">
        <f>Cu_Sorange/(Cu_Sorange+Co_Sorange)</f>
        <v>0.97922076667206159</v>
      </c>
      <c r="N89" s="18">
        <f>NORMSINV(SL_Sorange)</f>
        <v>2.0379146757002133</v>
      </c>
      <c r="O89" s="7">
        <f>Avg_demand_per_day_Sorange*Effective_LT_Sorange</f>
        <v>961.87662091059042</v>
      </c>
      <c r="P89" s="7">
        <f>std_Sorange*z_Sorange*SQRT(Effective_LT_Sorange)</f>
        <v>66.680892133372382</v>
      </c>
      <c r="Q89" s="7">
        <f>Avg_LT_demand_Sorange+SS_Sorange</f>
        <v>1028.5575130439629</v>
      </c>
    </row>
    <row r="90" spans="1:17" x14ac:dyDescent="0.2">
      <c r="B90" s="39"/>
      <c r="C90" t="s">
        <v>3</v>
      </c>
      <c r="D90" s="7">
        <f>Setup_cost_per_batch/Practical_batch_Tyran+Variable_production_cost</f>
        <v>1003.75</v>
      </c>
      <c r="E90" s="18">
        <f>Revenue_per_drum-Production_cost_per_drum_Tyran-Trucking_cost_different_region-Mailing_cost_different_region</f>
        <v>146.25</v>
      </c>
      <c r="F90" s="17">
        <f>(Holding_cost+(Production_cost_per_drum_Tyran+Trucking_cost_different_region)*0.1)/365</f>
        <v>0.57636986301369864</v>
      </c>
      <c r="G90" s="7">
        <f>SQRT(2 * Avg_demand_per_day_Tyran * Setup_cost_per_batch / Holding_cost_per_drum_day_Tyran)</f>
        <v>317.84905808908758</v>
      </c>
      <c r="H90">
        <v>400</v>
      </c>
      <c r="I90" s="7">
        <f>Practical_batch_Calopeia/Calopeia_capacity_buffer+Practical_batch_Sorange/Calopeia_capacity_buffer+Practical_batch_Tyran/Calopeia_capacity_buffer</f>
        <v>5.9480060171198694</v>
      </c>
      <c r="J90" s="7">
        <f>Adj_prod_LT_Tyran+Truck_time_different_region</f>
        <v>12.948006017119869</v>
      </c>
      <c r="K90" s="7">
        <f>Practical_batch_Tyran/Avg_demand_per_day_Tyran</f>
        <v>20.608108108108109</v>
      </c>
      <c r="L90" s="18">
        <f>Holding_cost_per_drum_day_Tyran*Cycle_length_Tyran</f>
        <v>11.877892447241763</v>
      </c>
      <c r="M90" s="19">
        <f>Cu_Tyran/(Cu_Tyran+Co_Tyran)</f>
        <v>0.9248842676430109</v>
      </c>
      <c r="N90" s="18">
        <f>NORMSINV(SL_Tyran)</f>
        <v>1.4387143752945131</v>
      </c>
      <c r="O90" s="7">
        <f>Avg_demand_per_day_Tyran*Effective_LT_Tyran</f>
        <v>251.31867416835942</v>
      </c>
      <c r="P90" s="7">
        <f>std_Tyran*z_Tyran*SQRT(Effective_LT_Tyran)</f>
        <v>87.496368448133126</v>
      </c>
      <c r="Q90" s="7">
        <f>Avg_LT_demand_Tyran+SS_Tyran</f>
        <v>338.81504261649252</v>
      </c>
    </row>
    <row r="91" spans="1:17" x14ac:dyDescent="0.2">
      <c r="B91" t="s">
        <v>5</v>
      </c>
      <c r="C91" t="s">
        <v>5</v>
      </c>
      <c r="D91" s="7">
        <f>Setup_cost_per_batch/Practical_batch_Fardo+Variable_production_cost</f>
        <v>1003.75</v>
      </c>
      <c r="E91" s="18">
        <f>Revenue_per_drum-Production_cost_per_drum_Fardo-Trucking_cost_same_region-Mailing_cost_same_region</f>
        <v>221.25</v>
      </c>
      <c r="F91" s="17">
        <f>(Holding_cost+(Production_cost_per_drum_Fardo+Trucking_cost_same_region)*0.1)/365</f>
        <v>0.56952054794520546</v>
      </c>
      <c r="G91" s="7">
        <f>SQRT(2 * Avg_demand_per_day_Fardo * Setup_cost_per_batch / Holding_cost_per_drum_day_Fardo)</f>
        <v>287.62310179719611</v>
      </c>
      <c r="H91">
        <v>400</v>
      </c>
      <c r="I91" s="7">
        <f>Practical_batch_Fardo/Fardo_capacity</f>
        <v>25.511550815704762</v>
      </c>
      <c r="J91" s="7">
        <f>Adj_prod_LT_Fardo+Truck_time_same_region</f>
        <v>32.511550815704766</v>
      </c>
      <c r="K91" s="7">
        <f>Practical_batch_Fardo/Avg_demand_per_day_Fardo</f>
        <v>25.469728601252609</v>
      </c>
      <c r="L91" s="18">
        <f>Holding_cost_per_drum_day_Fardo*Cycle_length_Fardo</f>
        <v>14.505533789001056</v>
      </c>
      <c r="M91" s="19">
        <f>Cu_Fardo/(Cu_Fardo+Co_Fardo)</f>
        <v>0.93847213867741763</v>
      </c>
      <c r="N91" s="18">
        <f>NORMSINV(SL_Fardo)</f>
        <v>1.5420735456680581</v>
      </c>
      <c r="O91" s="7">
        <f>Avg_demand_per_day_Fardo*Effective_LT_Fardo</f>
        <v>510.59124067942895</v>
      </c>
      <c r="P91" s="7">
        <f>std_Fardo*z_Fardo*SQRT(Effective_LT_Fardo)</f>
        <v>147.51842529091553</v>
      </c>
      <c r="Q91" s="7">
        <f>Avg_LT_demand_Fardo+SS_Fardo</f>
        <v>658.10966597034451</v>
      </c>
    </row>
    <row r="93" spans="1:17" x14ac:dyDescent="0.2">
      <c r="A93" t="s">
        <v>163</v>
      </c>
    </row>
    <row r="94" spans="1:17" x14ac:dyDescent="0.2">
      <c r="B94" t="s">
        <v>165</v>
      </c>
      <c r="C94" s="7">
        <v>6797000</v>
      </c>
    </row>
    <row r="95" spans="1:17" x14ac:dyDescent="0.2">
      <c r="B95" t="s">
        <v>171</v>
      </c>
      <c r="C95" s="7">
        <f>(Calopeia_capacity_buffer-Original_capacity)*Capacity_cost</f>
        <v>4906178.4497337965</v>
      </c>
    </row>
    <row r="96" spans="1:17" x14ac:dyDescent="0.2">
      <c r="B96" t="s">
        <v>173</v>
      </c>
      <c r="C96" s="7">
        <f>Fardo_capacity_buffer*Capacity_cost+Factory_cost+WH_cost</f>
        <v>1462354.4746035952</v>
      </c>
    </row>
    <row r="97" spans="1:3" x14ac:dyDescent="0.2">
      <c r="B97" t="s">
        <v>172</v>
      </c>
      <c r="C97" s="7">
        <f>WH_cost*2</f>
        <v>200000</v>
      </c>
    </row>
    <row r="98" spans="1:3" x14ac:dyDescent="0.2">
      <c r="B98" t="s">
        <v>166</v>
      </c>
      <c r="C98" s="7">
        <f>C94-SUM(C95:C97)</f>
        <v>228467.07566260826</v>
      </c>
    </row>
    <row r="99" spans="1:3" x14ac:dyDescent="0.2">
      <c r="C99" s="11"/>
    </row>
    <row r="100" spans="1:3" x14ac:dyDescent="0.2">
      <c r="A100" t="s">
        <v>164</v>
      </c>
    </row>
    <row r="101" spans="1:3" x14ac:dyDescent="0.2">
      <c r="B101" t="s">
        <v>148</v>
      </c>
    </row>
    <row r="102" spans="1:3" x14ac:dyDescent="0.2">
      <c r="B102" t="s">
        <v>149</v>
      </c>
    </row>
    <row r="103" spans="1:3" x14ac:dyDescent="0.2">
      <c r="B103" t="s">
        <v>150</v>
      </c>
    </row>
    <row r="105" spans="1:3" x14ac:dyDescent="0.2">
      <c r="B105" t="s">
        <v>151</v>
      </c>
      <c r="C105" t="s">
        <v>153</v>
      </c>
    </row>
    <row r="106" spans="1:3" x14ac:dyDescent="0.2">
      <c r="B106" s="32">
        <v>1430</v>
      </c>
      <c r="C106" t="s">
        <v>152</v>
      </c>
    </row>
    <row r="107" spans="1:3" x14ac:dyDescent="0.2">
      <c r="B107" s="32">
        <v>1445</v>
      </c>
      <c r="C107" t="s">
        <v>154</v>
      </c>
    </row>
    <row r="108" spans="1:3" x14ac:dyDescent="0.2">
      <c r="B108" s="32">
        <v>1460</v>
      </c>
      <c r="C108" t="s">
        <v>155</v>
      </c>
    </row>
  </sheetData>
  <mergeCells count="9">
    <mergeCell ref="B73:B75"/>
    <mergeCell ref="E73:E76"/>
    <mergeCell ref="B88:B90"/>
    <mergeCell ref="M1:S14"/>
    <mergeCell ref="D1:I1"/>
    <mergeCell ref="D39:E39"/>
    <mergeCell ref="F39:G39"/>
    <mergeCell ref="B70:B72"/>
    <mergeCell ref="E70:E72"/>
  </mergeCells>
  <pageMargins left="0.7" right="0.7" top="0.75" bottom="0.75" header="0.3" footer="0.3"/>
  <pageSetup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4E6A-6E89-F142-A0C2-C0B8CF7208EA}">
  <dimension ref="A1:M734"/>
  <sheetViews>
    <sheetView workbookViewId="0"/>
  </sheetViews>
  <sheetFormatPr baseColWidth="10" defaultRowHeight="16" x14ac:dyDescent="0.2"/>
  <cols>
    <col min="1" max="1" width="12.33203125" customWidth="1"/>
    <col min="13" max="13" width="32.5" bestFit="1" customWidth="1"/>
  </cols>
  <sheetData>
    <row r="1" spans="1:13" x14ac:dyDescent="0.2">
      <c r="B1" s="50" t="s">
        <v>145</v>
      </c>
      <c r="C1" s="51"/>
      <c r="D1" s="51"/>
      <c r="E1" s="51"/>
      <c r="F1" s="52"/>
      <c r="H1" s="53" t="s">
        <v>133</v>
      </c>
      <c r="I1" s="54"/>
      <c r="J1" s="54"/>
      <c r="K1" s="54"/>
      <c r="L1" s="55"/>
      <c r="M1" s="35" t="s">
        <v>160</v>
      </c>
    </row>
    <row r="2" spans="1:13" x14ac:dyDescent="0.2">
      <c r="A2" t="s">
        <v>143</v>
      </c>
      <c r="B2" s="20">
        <f>AVERAGE(B95:B734)</f>
        <v>41.854687499999997</v>
      </c>
      <c r="C2" s="21">
        <f>AVERAGE(I95:I703)</f>
        <v>74.287625418060202</v>
      </c>
      <c r="D2" s="21">
        <f>AVERAGE(D674:D734)</f>
        <v>19.409836065573771</v>
      </c>
      <c r="E2" s="21">
        <f t="shared" ref="E2:F2" si="0">AVERAGE(E674:E734)</f>
        <v>15.704918032786885</v>
      </c>
      <c r="F2" s="22">
        <f t="shared" si="0"/>
        <v>12.295081967213115</v>
      </c>
      <c r="G2" t="s">
        <v>134</v>
      </c>
      <c r="H2" s="26">
        <f>SUM(H65:H703)</f>
        <v>26758.026269712285</v>
      </c>
      <c r="I2" s="27">
        <f>SUM(I65:I703)</f>
        <v>46006.626134734834</v>
      </c>
      <c r="J2" s="27">
        <f>SUM(J65:J703)</f>
        <v>12402.885245901525</v>
      </c>
      <c r="K2" s="27">
        <f>SUM(K65:K703)</f>
        <v>10035.442622950748</v>
      </c>
      <c r="L2" s="28">
        <f>SUM(L65:L703)</f>
        <v>7987.5</v>
      </c>
      <c r="M2" s="37" t="s">
        <v>162</v>
      </c>
    </row>
    <row r="3" spans="1:13" x14ac:dyDescent="0.2">
      <c r="A3" t="s">
        <v>144</v>
      </c>
      <c r="B3" s="20">
        <f>STDEV(B5:B734)</f>
        <v>26.511269590489672</v>
      </c>
      <c r="C3" s="21">
        <f>STDEV(C644:C734)</f>
        <v>9.0931416949933137</v>
      </c>
      <c r="D3" s="21">
        <f>STDEV(D674:D734)</f>
        <v>16.901062145301527</v>
      </c>
      <c r="E3" s="21">
        <f t="shared" ref="E3" si="1">STDEV(E674:E734)</f>
        <v>16.777310334988226</v>
      </c>
      <c r="F3" s="22">
        <f>STDEV(F674:F734)</f>
        <v>54.509737436625358</v>
      </c>
      <c r="G3" t="s">
        <v>135</v>
      </c>
      <c r="H3" s="29">
        <f>SUM(H95:H703)</f>
        <v>25759.574572573092</v>
      </c>
      <c r="I3" s="30">
        <f>SUM(I95:I703)</f>
        <v>45241.163879598666</v>
      </c>
      <c r="J3" s="30">
        <f>SUM(J95:J703)</f>
        <v>11820.590163934321</v>
      </c>
      <c r="K3" s="30">
        <f>SUM(K95:K703)</f>
        <v>9564.295081967146</v>
      </c>
      <c r="L3" s="31">
        <f>SUM(L95:L703)</f>
        <v>7612.5</v>
      </c>
      <c r="M3" s="36">
        <f>STDEV(M674:M734)</f>
        <v>55.779488758146741</v>
      </c>
    </row>
    <row r="4" spans="1:13" ht="17" thickBot="1" x14ac:dyDescent="0.25">
      <c r="A4" t="s">
        <v>131</v>
      </c>
      <c r="B4" s="23" t="s">
        <v>1</v>
      </c>
      <c r="C4" s="24" t="s">
        <v>2</v>
      </c>
      <c r="D4" s="24" t="s">
        <v>3</v>
      </c>
      <c r="E4" s="24" t="s">
        <v>5</v>
      </c>
      <c r="F4" s="25" t="s">
        <v>4</v>
      </c>
      <c r="G4" t="s">
        <v>32</v>
      </c>
      <c r="H4" s="23" t="s">
        <v>1</v>
      </c>
      <c r="I4" s="24" t="s">
        <v>2</v>
      </c>
      <c r="J4" s="24" t="s">
        <v>3</v>
      </c>
      <c r="K4" s="24" t="s">
        <v>5</v>
      </c>
      <c r="L4" s="25" t="s">
        <v>4</v>
      </c>
      <c r="M4" t="s">
        <v>161</v>
      </c>
    </row>
    <row r="5" spans="1:13" x14ac:dyDescent="0.2">
      <c r="A5">
        <v>1</v>
      </c>
      <c r="B5">
        <f>Calopeia!B2</f>
        <v>11</v>
      </c>
      <c r="C5">
        <f>Sorange!B2</f>
        <v>0</v>
      </c>
      <c r="D5">
        <f>Tyran!B2</f>
        <v>0</v>
      </c>
      <c r="E5">
        <f>Fardo!B2</f>
        <v>0</v>
      </c>
      <c r="F5" s="2">
        <f>Entworpe!B2</f>
        <v>0</v>
      </c>
      <c r="G5">
        <v>731</v>
      </c>
      <c r="H5" s="2">
        <f>Calopeia!F2</f>
        <v>16.529495073980069</v>
      </c>
      <c r="I5" s="2">
        <f>Sorange!E2</f>
        <v>14.142857142857142</v>
      </c>
      <c r="J5" s="2">
        <f>Tyran!D2</f>
        <v>19.409836065573771</v>
      </c>
      <c r="K5" s="2">
        <f>Fardo!D2</f>
        <v>15.704918032786885</v>
      </c>
      <c r="L5" s="2">
        <f>Entworpe!D2</f>
        <v>12.5</v>
      </c>
      <c r="M5">
        <f>B5+F5</f>
        <v>11</v>
      </c>
    </row>
    <row r="6" spans="1:13" x14ac:dyDescent="0.2">
      <c r="A6">
        <v>2</v>
      </c>
      <c r="B6">
        <f>Calopeia!B3</f>
        <v>7</v>
      </c>
      <c r="C6">
        <f>Sorange!B3</f>
        <v>0</v>
      </c>
      <c r="D6">
        <f>Tyran!B3</f>
        <v>0</v>
      </c>
      <c r="E6">
        <f>Fardo!B3</f>
        <v>0</v>
      </c>
      <c r="F6" s="2">
        <f>Entworpe!B3</f>
        <v>0</v>
      </c>
      <c r="G6">
        <v>732</v>
      </c>
      <c r="H6" s="2">
        <f>Calopeia!F3</f>
        <v>16.529495073980069</v>
      </c>
      <c r="I6" s="2">
        <f>Sorange!E3</f>
        <v>14.295508838987098</v>
      </c>
      <c r="J6" s="2">
        <f>Tyran!D3</f>
        <v>19.409836065573771</v>
      </c>
      <c r="K6" s="2">
        <f>Fardo!D3</f>
        <v>15.704918032786885</v>
      </c>
      <c r="L6" s="2">
        <f>Entworpe!D3</f>
        <v>12.5</v>
      </c>
      <c r="M6">
        <f t="shared" ref="M6:M69" si="2">B6+F6</f>
        <v>7</v>
      </c>
    </row>
    <row r="7" spans="1:13" x14ac:dyDescent="0.2">
      <c r="A7">
        <v>3</v>
      </c>
      <c r="B7">
        <f>Calopeia!B4</f>
        <v>4</v>
      </c>
      <c r="C7">
        <f>Sorange!B4</f>
        <v>0</v>
      </c>
      <c r="D7">
        <f>Tyran!B4</f>
        <v>0</v>
      </c>
      <c r="E7">
        <f>Fardo!B4</f>
        <v>0</v>
      </c>
      <c r="F7" s="2">
        <f>Entworpe!B4</f>
        <v>0</v>
      </c>
      <c r="G7">
        <v>733</v>
      </c>
      <c r="H7" s="2">
        <f>Calopeia!F4</f>
        <v>16.529495073980069</v>
      </c>
      <c r="I7" s="2">
        <f>Sorange!E4</f>
        <v>14.448160535117056</v>
      </c>
      <c r="J7" s="2">
        <f>Tyran!D4</f>
        <v>19.409836065573771</v>
      </c>
      <c r="K7" s="2">
        <f>Fardo!D4</f>
        <v>15.704918032786885</v>
      </c>
      <c r="L7" s="2">
        <f>Entworpe!D4</f>
        <v>12.5</v>
      </c>
      <c r="M7">
        <f t="shared" si="2"/>
        <v>4</v>
      </c>
    </row>
    <row r="8" spans="1:13" x14ac:dyDescent="0.2">
      <c r="A8">
        <v>4</v>
      </c>
      <c r="B8">
        <f>Calopeia!B5</f>
        <v>8</v>
      </c>
      <c r="C8">
        <f>Sorange!B5</f>
        <v>0</v>
      </c>
      <c r="D8">
        <f>Tyran!B5</f>
        <v>0</v>
      </c>
      <c r="E8">
        <f>Fardo!B5</f>
        <v>0</v>
      </c>
      <c r="F8" s="2">
        <f>Entworpe!B5</f>
        <v>0</v>
      </c>
      <c r="G8">
        <v>734</v>
      </c>
      <c r="H8" s="2">
        <f>Calopeia!F5</f>
        <v>16.529495073980069</v>
      </c>
      <c r="I8" s="2">
        <f>Sorange!E5</f>
        <v>14.600812231247012</v>
      </c>
      <c r="J8" s="2">
        <f>Tyran!D5</f>
        <v>19.409836065573771</v>
      </c>
      <c r="K8" s="2">
        <f>Fardo!D5</f>
        <v>15.704918032786885</v>
      </c>
      <c r="L8" s="2">
        <f>Entworpe!D5</f>
        <v>12.5</v>
      </c>
      <c r="M8">
        <f t="shared" si="2"/>
        <v>8</v>
      </c>
    </row>
    <row r="9" spans="1:13" x14ac:dyDescent="0.2">
      <c r="A9">
        <v>5</v>
      </c>
      <c r="B9">
        <f>Calopeia!B6</f>
        <v>5</v>
      </c>
      <c r="C9">
        <f>Sorange!B6</f>
        <v>0</v>
      </c>
      <c r="D9">
        <f>Tyran!B6</f>
        <v>0</v>
      </c>
      <c r="E9">
        <f>Fardo!B6</f>
        <v>0</v>
      </c>
      <c r="F9" s="2">
        <f>Entworpe!B6</f>
        <v>0</v>
      </c>
      <c r="G9">
        <v>735</v>
      </c>
      <c r="H9" s="2">
        <f>Calopeia!F6</f>
        <v>16.529495073980069</v>
      </c>
      <c r="I9" s="2">
        <f>Sorange!E6</f>
        <v>14.75346392737697</v>
      </c>
      <c r="J9" s="2">
        <f>Tyran!D6</f>
        <v>19.409836065573771</v>
      </c>
      <c r="K9" s="2">
        <f>Fardo!D6</f>
        <v>15.704918032786885</v>
      </c>
      <c r="L9" s="2">
        <f>Entworpe!D6</f>
        <v>12.5</v>
      </c>
      <c r="M9">
        <f t="shared" si="2"/>
        <v>5</v>
      </c>
    </row>
    <row r="10" spans="1:13" x14ac:dyDescent="0.2">
      <c r="A10">
        <v>6</v>
      </c>
      <c r="B10">
        <f>Calopeia!B7</f>
        <v>8</v>
      </c>
      <c r="C10">
        <f>Sorange!B7</f>
        <v>0</v>
      </c>
      <c r="D10">
        <f>Tyran!B7</f>
        <v>0</v>
      </c>
      <c r="E10">
        <f>Fardo!B7</f>
        <v>0</v>
      </c>
      <c r="F10" s="2">
        <f>Entworpe!B7</f>
        <v>0</v>
      </c>
      <c r="G10">
        <v>736</v>
      </c>
      <c r="H10" s="2">
        <f>Calopeia!F7</f>
        <v>16.529495073980069</v>
      </c>
      <c r="I10" s="2">
        <f>Sorange!E7</f>
        <v>14.906115623506928</v>
      </c>
      <c r="J10" s="2">
        <f>Tyran!D7</f>
        <v>19.409836065573771</v>
      </c>
      <c r="K10" s="2">
        <f>Fardo!D7</f>
        <v>15.704918032786885</v>
      </c>
      <c r="L10" s="2">
        <f>Entworpe!D7</f>
        <v>12.5</v>
      </c>
      <c r="M10">
        <f t="shared" si="2"/>
        <v>8</v>
      </c>
    </row>
    <row r="11" spans="1:13" x14ac:dyDescent="0.2">
      <c r="A11">
        <v>7</v>
      </c>
      <c r="B11">
        <f>Calopeia!B8</f>
        <v>14</v>
      </c>
      <c r="C11">
        <f>Sorange!B8</f>
        <v>0</v>
      </c>
      <c r="D11">
        <f>Tyran!B8</f>
        <v>0</v>
      </c>
      <c r="E11">
        <f>Fardo!B8</f>
        <v>0</v>
      </c>
      <c r="F11" s="2">
        <f>Entworpe!B8</f>
        <v>0</v>
      </c>
      <c r="G11">
        <v>737</v>
      </c>
      <c r="H11" s="2">
        <f>Calopeia!F8</f>
        <v>16.529495073980069</v>
      </c>
      <c r="I11" s="2">
        <f>Sorange!E8</f>
        <v>15.058767319636884</v>
      </c>
      <c r="J11" s="2">
        <f>Tyran!D8</f>
        <v>19.409836065573771</v>
      </c>
      <c r="K11" s="2">
        <f>Fardo!D8</f>
        <v>15.704918032786885</v>
      </c>
      <c r="L11" s="2">
        <f>Entworpe!D8</f>
        <v>12.5</v>
      </c>
      <c r="M11">
        <f t="shared" si="2"/>
        <v>14</v>
      </c>
    </row>
    <row r="12" spans="1:13" x14ac:dyDescent="0.2">
      <c r="A12">
        <v>8</v>
      </c>
      <c r="B12">
        <f>Calopeia!B9</f>
        <v>6</v>
      </c>
      <c r="C12">
        <f>Sorange!B9</f>
        <v>0</v>
      </c>
      <c r="D12">
        <f>Tyran!B9</f>
        <v>0</v>
      </c>
      <c r="E12">
        <f>Fardo!B9</f>
        <v>0</v>
      </c>
      <c r="F12" s="2">
        <f>Entworpe!B9</f>
        <v>0</v>
      </c>
      <c r="G12">
        <v>738</v>
      </c>
      <c r="H12" s="2">
        <f>Calopeia!F9</f>
        <v>16.529495073980069</v>
      </c>
      <c r="I12" s="2">
        <f>Sorange!E9</f>
        <v>15.211419015766841</v>
      </c>
      <c r="J12" s="2">
        <f>Tyran!D9</f>
        <v>19.409836065573771</v>
      </c>
      <c r="K12" s="2">
        <f>Fardo!D9</f>
        <v>15.704918032786885</v>
      </c>
      <c r="L12" s="2">
        <f>Entworpe!D9</f>
        <v>12.5</v>
      </c>
      <c r="M12">
        <f t="shared" si="2"/>
        <v>6</v>
      </c>
    </row>
    <row r="13" spans="1:13" x14ac:dyDescent="0.2">
      <c r="A13">
        <v>9</v>
      </c>
      <c r="B13">
        <f>Calopeia!B10</f>
        <v>31</v>
      </c>
      <c r="C13">
        <f>Sorange!B10</f>
        <v>0</v>
      </c>
      <c r="D13">
        <f>Tyran!B10</f>
        <v>0</v>
      </c>
      <c r="E13">
        <f>Fardo!B10</f>
        <v>0</v>
      </c>
      <c r="F13" s="2">
        <f>Entworpe!B10</f>
        <v>0</v>
      </c>
      <c r="G13">
        <v>739</v>
      </c>
      <c r="H13" s="2">
        <f>Calopeia!F10</f>
        <v>16.529495073980069</v>
      </c>
      <c r="I13" s="2">
        <f>Sorange!E10</f>
        <v>15.364070711896797</v>
      </c>
      <c r="J13" s="2">
        <f>Tyran!D10</f>
        <v>19.409836065573771</v>
      </c>
      <c r="K13" s="2">
        <f>Fardo!D10</f>
        <v>15.704918032786885</v>
      </c>
      <c r="L13" s="2">
        <f>Entworpe!D10</f>
        <v>12.5</v>
      </c>
      <c r="M13">
        <f t="shared" si="2"/>
        <v>31</v>
      </c>
    </row>
    <row r="14" spans="1:13" x14ac:dyDescent="0.2">
      <c r="A14">
        <v>10</v>
      </c>
      <c r="B14">
        <f>Calopeia!B11</f>
        <v>7</v>
      </c>
      <c r="C14">
        <f>Sorange!B11</f>
        <v>0</v>
      </c>
      <c r="D14">
        <f>Tyran!B11</f>
        <v>0</v>
      </c>
      <c r="E14">
        <f>Fardo!B11</f>
        <v>0</v>
      </c>
      <c r="F14" s="2">
        <f>Entworpe!B11</f>
        <v>0</v>
      </c>
      <c r="G14">
        <v>740</v>
      </c>
      <c r="H14" s="2">
        <f>Calopeia!F11</f>
        <v>16.529495073980069</v>
      </c>
      <c r="I14" s="2">
        <f>Sorange!E11</f>
        <v>15.516722408026755</v>
      </c>
      <c r="J14" s="2">
        <f>Tyran!D11</f>
        <v>19.409836065573771</v>
      </c>
      <c r="K14" s="2">
        <f>Fardo!D11</f>
        <v>15.704918032786885</v>
      </c>
      <c r="L14" s="2">
        <f>Entworpe!D11</f>
        <v>12.5</v>
      </c>
      <c r="M14">
        <f t="shared" si="2"/>
        <v>7</v>
      </c>
    </row>
    <row r="15" spans="1:13" x14ac:dyDescent="0.2">
      <c r="A15">
        <v>11</v>
      </c>
      <c r="B15">
        <f>Calopeia!B12</f>
        <v>7</v>
      </c>
      <c r="C15">
        <f>Sorange!B12</f>
        <v>0</v>
      </c>
      <c r="D15">
        <f>Tyran!B12</f>
        <v>0</v>
      </c>
      <c r="E15">
        <f>Fardo!B12</f>
        <v>0</v>
      </c>
      <c r="F15" s="2">
        <f>Entworpe!B12</f>
        <v>0</v>
      </c>
      <c r="G15">
        <v>741</v>
      </c>
      <c r="H15" s="2">
        <f>Calopeia!F12</f>
        <v>16.529495073980069</v>
      </c>
      <c r="I15" s="2">
        <f>Sorange!E12</f>
        <v>15.669374104156711</v>
      </c>
      <c r="J15" s="2">
        <f>Tyran!D12</f>
        <v>19.409836065573771</v>
      </c>
      <c r="K15" s="2">
        <f>Fardo!D12</f>
        <v>15.704918032786885</v>
      </c>
      <c r="L15" s="2">
        <f>Entworpe!D12</f>
        <v>12.5</v>
      </c>
      <c r="M15">
        <f t="shared" si="2"/>
        <v>7</v>
      </c>
    </row>
    <row r="16" spans="1:13" x14ac:dyDescent="0.2">
      <c r="A16">
        <v>12</v>
      </c>
      <c r="B16">
        <f>Calopeia!B13</f>
        <v>19</v>
      </c>
      <c r="C16">
        <f>Sorange!B13</f>
        <v>0</v>
      </c>
      <c r="D16">
        <f>Tyran!B13</f>
        <v>0</v>
      </c>
      <c r="E16">
        <f>Fardo!B13</f>
        <v>0</v>
      </c>
      <c r="F16" s="2">
        <f>Entworpe!B13</f>
        <v>0</v>
      </c>
      <c r="G16">
        <v>742</v>
      </c>
      <c r="H16" s="2">
        <f>Calopeia!F13</f>
        <v>16.529495073980069</v>
      </c>
      <c r="I16" s="2">
        <f>Sorange!E13</f>
        <v>15.822025800286669</v>
      </c>
      <c r="J16" s="2">
        <f>Tyran!D13</f>
        <v>19.409836065573771</v>
      </c>
      <c r="K16" s="2">
        <f>Fardo!D13</f>
        <v>15.704918032786885</v>
      </c>
      <c r="L16" s="2">
        <f>Entworpe!D13</f>
        <v>12.5</v>
      </c>
      <c r="M16">
        <f t="shared" si="2"/>
        <v>19</v>
      </c>
    </row>
    <row r="17" spans="1:13" x14ac:dyDescent="0.2">
      <c r="A17">
        <v>13</v>
      </c>
      <c r="B17">
        <f>Calopeia!B14</f>
        <v>5</v>
      </c>
      <c r="C17">
        <f>Sorange!B14</f>
        <v>0</v>
      </c>
      <c r="D17">
        <f>Tyran!B14</f>
        <v>0</v>
      </c>
      <c r="E17">
        <f>Fardo!B14</f>
        <v>0</v>
      </c>
      <c r="F17" s="2">
        <f>Entworpe!B14</f>
        <v>0</v>
      </c>
      <c r="G17">
        <v>743</v>
      </c>
      <c r="H17" s="2">
        <f>Calopeia!F14</f>
        <v>16.529495073980069</v>
      </c>
      <c r="I17" s="2">
        <f>Sorange!E14</f>
        <v>15.974677496416625</v>
      </c>
      <c r="J17" s="2">
        <f>Tyran!D14</f>
        <v>19.409836065573771</v>
      </c>
      <c r="K17" s="2">
        <f>Fardo!D14</f>
        <v>15.704918032786885</v>
      </c>
      <c r="L17" s="2">
        <f>Entworpe!D14</f>
        <v>12.5</v>
      </c>
      <c r="M17">
        <f t="shared" si="2"/>
        <v>5</v>
      </c>
    </row>
    <row r="18" spans="1:13" x14ac:dyDescent="0.2">
      <c r="A18">
        <v>14</v>
      </c>
      <c r="B18">
        <f>Calopeia!B15</f>
        <v>6</v>
      </c>
      <c r="C18">
        <f>Sorange!B15</f>
        <v>0</v>
      </c>
      <c r="D18">
        <f>Tyran!B15</f>
        <v>0</v>
      </c>
      <c r="E18">
        <f>Fardo!B15</f>
        <v>0</v>
      </c>
      <c r="F18" s="2">
        <f>Entworpe!B15</f>
        <v>0</v>
      </c>
      <c r="G18">
        <v>744</v>
      </c>
      <c r="H18" s="2">
        <f>Calopeia!F15</f>
        <v>16.529495073980069</v>
      </c>
      <c r="I18" s="2">
        <f>Sorange!E15</f>
        <v>16.127329192546583</v>
      </c>
      <c r="J18" s="2">
        <f>Tyran!D15</f>
        <v>19.409836065573771</v>
      </c>
      <c r="K18" s="2">
        <f>Fardo!D15</f>
        <v>15.704918032786885</v>
      </c>
      <c r="L18" s="2">
        <f>Entworpe!D15</f>
        <v>12.5</v>
      </c>
      <c r="M18">
        <f t="shared" si="2"/>
        <v>6</v>
      </c>
    </row>
    <row r="19" spans="1:13" x14ac:dyDescent="0.2">
      <c r="A19">
        <v>15</v>
      </c>
      <c r="B19">
        <f>Calopeia!B16</f>
        <v>7</v>
      </c>
      <c r="C19">
        <f>Sorange!B16</f>
        <v>0</v>
      </c>
      <c r="D19">
        <f>Tyran!B16</f>
        <v>0</v>
      </c>
      <c r="E19">
        <f>Fardo!B16</f>
        <v>0</v>
      </c>
      <c r="F19" s="2">
        <f>Entworpe!B16</f>
        <v>0</v>
      </c>
      <c r="G19">
        <v>745</v>
      </c>
      <c r="H19" s="2">
        <f>Calopeia!F16</f>
        <v>16.529495073980069</v>
      </c>
      <c r="I19" s="2">
        <f>Sorange!E16</f>
        <v>16.27998088867654</v>
      </c>
      <c r="J19" s="2">
        <f>Tyran!D16</f>
        <v>19.409836065573771</v>
      </c>
      <c r="K19" s="2">
        <f>Fardo!D16</f>
        <v>15.704918032786885</v>
      </c>
      <c r="L19" s="2">
        <f>Entworpe!D16</f>
        <v>12.5</v>
      </c>
      <c r="M19">
        <f t="shared" si="2"/>
        <v>7</v>
      </c>
    </row>
    <row r="20" spans="1:13" x14ac:dyDescent="0.2">
      <c r="A20">
        <v>16</v>
      </c>
      <c r="B20">
        <f>Calopeia!B17</f>
        <v>5</v>
      </c>
      <c r="C20">
        <f>Sorange!B17</f>
        <v>0</v>
      </c>
      <c r="D20">
        <f>Tyran!B17</f>
        <v>0</v>
      </c>
      <c r="E20">
        <f>Fardo!B17</f>
        <v>0</v>
      </c>
      <c r="F20" s="2">
        <f>Entworpe!B17</f>
        <v>0</v>
      </c>
      <c r="G20">
        <v>746</v>
      </c>
      <c r="H20" s="2">
        <f>Calopeia!F17</f>
        <v>16.529495073980069</v>
      </c>
      <c r="I20" s="2">
        <f>Sorange!E17</f>
        <v>16.432632584806498</v>
      </c>
      <c r="J20" s="2">
        <f>Tyran!D17</f>
        <v>19.409836065573771</v>
      </c>
      <c r="K20" s="2">
        <f>Fardo!D17</f>
        <v>15.704918032786885</v>
      </c>
      <c r="L20" s="2">
        <f>Entworpe!D17</f>
        <v>12.5</v>
      </c>
      <c r="M20">
        <f t="shared" si="2"/>
        <v>5</v>
      </c>
    </row>
    <row r="21" spans="1:13" x14ac:dyDescent="0.2">
      <c r="A21">
        <v>17</v>
      </c>
      <c r="B21">
        <f>Calopeia!B18</f>
        <v>14</v>
      </c>
      <c r="C21">
        <f>Sorange!B18</f>
        <v>0</v>
      </c>
      <c r="D21">
        <f>Tyran!B18</f>
        <v>0</v>
      </c>
      <c r="E21">
        <f>Fardo!B18</f>
        <v>0</v>
      </c>
      <c r="F21" s="2">
        <f>Entworpe!B18</f>
        <v>0</v>
      </c>
      <c r="G21">
        <v>747</v>
      </c>
      <c r="H21" s="2">
        <f>Calopeia!F18</f>
        <v>16.529495073980069</v>
      </c>
      <c r="I21" s="2">
        <f>Sorange!E18</f>
        <v>16.585284280936452</v>
      </c>
      <c r="J21" s="2">
        <f>Tyran!D18</f>
        <v>19.409836065573771</v>
      </c>
      <c r="K21" s="2">
        <f>Fardo!D18</f>
        <v>15.704918032786885</v>
      </c>
      <c r="L21" s="2">
        <f>Entworpe!D18</f>
        <v>12.5</v>
      </c>
      <c r="M21">
        <f t="shared" si="2"/>
        <v>14</v>
      </c>
    </row>
    <row r="22" spans="1:13" x14ac:dyDescent="0.2">
      <c r="A22">
        <v>18</v>
      </c>
      <c r="B22">
        <f>Calopeia!B19</f>
        <v>25</v>
      </c>
      <c r="C22">
        <f>Sorange!B19</f>
        <v>0</v>
      </c>
      <c r="D22">
        <f>Tyran!B19</f>
        <v>0</v>
      </c>
      <c r="E22">
        <f>Fardo!B19</f>
        <v>0</v>
      </c>
      <c r="F22" s="2">
        <f>Entworpe!B19</f>
        <v>0</v>
      </c>
      <c r="G22">
        <v>748</v>
      </c>
      <c r="H22" s="2">
        <f>Calopeia!F19</f>
        <v>16.529495073980069</v>
      </c>
      <c r="I22" s="2">
        <f>Sorange!E19</f>
        <v>16.73793597706641</v>
      </c>
      <c r="J22" s="2">
        <f>Tyran!D19</f>
        <v>19.409836065573771</v>
      </c>
      <c r="K22" s="2">
        <f>Fardo!D19</f>
        <v>15.704918032786885</v>
      </c>
      <c r="L22" s="2">
        <f>Entworpe!D19</f>
        <v>12.5</v>
      </c>
      <c r="M22">
        <f t="shared" si="2"/>
        <v>25</v>
      </c>
    </row>
    <row r="23" spans="1:13" x14ac:dyDescent="0.2">
      <c r="A23">
        <v>19</v>
      </c>
      <c r="B23">
        <f>Calopeia!B20</f>
        <v>2</v>
      </c>
      <c r="C23">
        <f>Sorange!B20</f>
        <v>0</v>
      </c>
      <c r="D23">
        <f>Tyran!B20</f>
        <v>0</v>
      </c>
      <c r="E23">
        <f>Fardo!B20</f>
        <v>0</v>
      </c>
      <c r="F23" s="2">
        <f>Entworpe!B20</f>
        <v>0</v>
      </c>
      <c r="G23">
        <v>749</v>
      </c>
      <c r="H23" s="2">
        <f>Calopeia!F20</f>
        <v>16.529495073980069</v>
      </c>
      <c r="I23" s="2">
        <f>Sorange!E20</f>
        <v>16.890587673196368</v>
      </c>
      <c r="J23" s="2">
        <f>Tyran!D20</f>
        <v>19.409836065573771</v>
      </c>
      <c r="K23" s="2">
        <f>Fardo!D20</f>
        <v>15.704918032786885</v>
      </c>
      <c r="L23" s="2">
        <f>Entworpe!D20</f>
        <v>12.5</v>
      </c>
      <c r="M23">
        <f t="shared" si="2"/>
        <v>2</v>
      </c>
    </row>
    <row r="24" spans="1:13" x14ac:dyDescent="0.2">
      <c r="A24">
        <v>20</v>
      </c>
      <c r="B24">
        <f>Calopeia!B21</f>
        <v>4</v>
      </c>
      <c r="C24">
        <f>Sorange!B21</f>
        <v>0</v>
      </c>
      <c r="D24">
        <f>Tyran!B21</f>
        <v>0</v>
      </c>
      <c r="E24">
        <f>Fardo!B21</f>
        <v>0</v>
      </c>
      <c r="F24" s="2">
        <f>Entworpe!B21</f>
        <v>0</v>
      </c>
      <c r="G24">
        <v>750</v>
      </c>
      <c r="H24" s="2">
        <f>Calopeia!F21</f>
        <v>16.529495073980069</v>
      </c>
      <c r="I24" s="2">
        <f>Sorange!E21</f>
        <v>17.043239369326326</v>
      </c>
      <c r="J24" s="2">
        <f>Tyran!D21</f>
        <v>19.409836065573771</v>
      </c>
      <c r="K24" s="2">
        <f>Fardo!D21</f>
        <v>15.704918032786885</v>
      </c>
      <c r="L24" s="2">
        <f>Entworpe!D21</f>
        <v>12.5</v>
      </c>
      <c r="M24">
        <f t="shared" si="2"/>
        <v>4</v>
      </c>
    </row>
    <row r="25" spans="1:13" x14ac:dyDescent="0.2">
      <c r="A25">
        <v>21</v>
      </c>
      <c r="B25">
        <f>Calopeia!B22</f>
        <v>11</v>
      </c>
      <c r="C25">
        <f>Sorange!B22</f>
        <v>0</v>
      </c>
      <c r="D25">
        <f>Tyran!B22</f>
        <v>0</v>
      </c>
      <c r="E25">
        <f>Fardo!B22</f>
        <v>0</v>
      </c>
      <c r="F25" s="2">
        <f>Entworpe!B22</f>
        <v>0</v>
      </c>
      <c r="G25">
        <v>751</v>
      </c>
      <c r="H25" s="2">
        <f>Calopeia!F22</f>
        <v>16.529495073980069</v>
      </c>
      <c r="I25" s="2">
        <f>Sorange!E22</f>
        <v>17.195891065456284</v>
      </c>
      <c r="J25" s="2">
        <f>Tyran!D22</f>
        <v>19.409836065573771</v>
      </c>
      <c r="K25" s="2">
        <f>Fardo!D22</f>
        <v>15.704918032786885</v>
      </c>
      <c r="L25" s="2">
        <f>Entworpe!D22</f>
        <v>12.5</v>
      </c>
      <c r="M25">
        <f t="shared" si="2"/>
        <v>11</v>
      </c>
    </row>
    <row r="26" spans="1:13" x14ac:dyDescent="0.2">
      <c r="A26">
        <v>22</v>
      </c>
      <c r="B26">
        <f>Calopeia!B23</f>
        <v>22</v>
      </c>
      <c r="C26">
        <f>Sorange!B23</f>
        <v>0</v>
      </c>
      <c r="D26">
        <f>Tyran!B23</f>
        <v>0</v>
      </c>
      <c r="E26">
        <f>Fardo!B23</f>
        <v>0</v>
      </c>
      <c r="F26" s="2">
        <f>Entworpe!B23</f>
        <v>0</v>
      </c>
      <c r="G26">
        <v>752</v>
      </c>
      <c r="H26" s="2">
        <f>Calopeia!F23</f>
        <v>16.529495073980069</v>
      </c>
      <c r="I26" s="2">
        <f>Sorange!E23</f>
        <v>17.348542761586238</v>
      </c>
      <c r="J26" s="2">
        <f>Tyran!D23</f>
        <v>19.409836065573771</v>
      </c>
      <c r="K26" s="2">
        <f>Fardo!D23</f>
        <v>15.704918032786885</v>
      </c>
      <c r="L26" s="2">
        <f>Entworpe!D23</f>
        <v>12.5</v>
      </c>
      <c r="M26">
        <f t="shared" si="2"/>
        <v>22</v>
      </c>
    </row>
    <row r="27" spans="1:13" x14ac:dyDescent="0.2">
      <c r="A27">
        <v>23</v>
      </c>
      <c r="B27">
        <f>Calopeia!B24</f>
        <v>8</v>
      </c>
      <c r="C27">
        <f>Sorange!B24</f>
        <v>0</v>
      </c>
      <c r="D27">
        <f>Tyran!B24</f>
        <v>0</v>
      </c>
      <c r="E27">
        <f>Fardo!B24</f>
        <v>0</v>
      </c>
      <c r="F27" s="2">
        <f>Entworpe!B24</f>
        <v>0</v>
      </c>
      <c r="G27">
        <v>753</v>
      </c>
      <c r="H27" s="2">
        <f>Calopeia!F24</f>
        <v>16.529495073980069</v>
      </c>
      <c r="I27" s="2">
        <f>Sorange!E24</f>
        <v>17.501194457716196</v>
      </c>
      <c r="J27" s="2">
        <f>Tyran!D24</f>
        <v>19.409836065573771</v>
      </c>
      <c r="K27" s="2">
        <f>Fardo!D24</f>
        <v>15.704918032786885</v>
      </c>
      <c r="L27" s="2">
        <f>Entworpe!D24</f>
        <v>12.5</v>
      </c>
      <c r="M27">
        <f t="shared" si="2"/>
        <v>8</v>
      </c>
    </row>
    <row r="28" spans="1:13" x14ac:dyDescent="0.2">
      <c r="A28">
        <v>24</v>
      </c>
      <c r="B28">
        <f>Calopeia!B25</f>
        <v>10</v>
      </c>
      <c r="C28">
        <f>Sorange!B25</f>
        <v>0</v>
      </c>
      <c r="D28">
        <f>Tyran!B25</f>
        <v>0</v>
      </c>
      <c r="E28">
        <f>Fardo!B25</f>
        <v>0</v>
      </c>
      <c r="F28" s="2">
        <f>Entworpe!B25</f>
        <v>0</v>
      </c>
      <c r="G28">
        <v>754</v>
      </c>
      <c r="H28" s="2">
        <f>Calopeia!F25</f>
        <v>16.529495073980069</v>
      </c>
      <c r="I28" s="2">
        <f>Sorange!E25</f>
        <v>17.653846153846153</v>
      </c>
      <c r="J28" s="2">
        <f>Tyran!D25</f>
        <v>19.409836065573771</v>
      </c>
      <c r="K28" s="2">
        <f>Fardo!D25</f>
        <v>15.704918032786885</v>
      </c>
      <c r="L28" s="2">
        <f>Entworpe!D25</f>
        <v>12.5</v>
      </c>
      <c r="M28">
        <f t="shared" si="2"/>
        <v>10</v>
      </c>
    </row>
    <row r="29" spans="1:13" x14ac:dyDescent="0.2">
      <c r="A29">
        <v>25</v>
      </c>
      <c r="B29">
        <f>Calopeia!B26</f>
        <v>11</v>
      </c>
      <c r="C29">
        <f>Sorange!B26</f>
        <v>0</v>
      </c>
      <c r="D29">
        <f>Tyran!B26</f>
        <v>0</v>
      </c>
      <c r="E29">
        <f>Fardo!B26</f>
        <v>0</v>
      </c>
      <c r="F29" s="2">
        <f>Entworpe!B26</f>
        <v>0</v>
      </c>
      <c r="G29">
        <v>755</v>
      </c>
      <c r="H29" s="2">
        <f>Calopeia!F26</f>
        <v>16.529495073980069</v>
      </c>
      <c r="I29" s="2">
        <f>Sorange!E26</f>
        <v>17.806497849976111</v>
      </c>
      <c r="J29" s="2">
        <f>Tyran!D26</f>
        <v>19.409836065573771</v>
      </c>
      <c r="K29" s="2">
        <f>Fardo!D26</f>
        <v>15.704918032786885</v>
      </c>
      <c r="L29" s="2">
        <f>Entworpe!D26</f>
        <v>12.5</v>
      </c>
      <c r="M29">
        <f t="shared" si="2"/>
        <v>11</v>
      </c>
    </row>
    <row r="30" spans="1:13" x14ac:dyDescent="0.2">
      <c r="A30">
        <v>26</v>
      </c>
      <c r="B30">
        <f>Calopeia!B27</f>
        <v>16</v>
      </c>
      <c r="C30">
        <f>Sorange!B27</f>
        <v>0</v>
      </c>
      <c r="D30">
        <f>Tyran!B27</f>
        <v>0</v>
      </c>
      <c r="E30">
        <f>Fardo!B27</f>
        <v>0</v>
      </c>
      <c r="F30" s="2">
        <f>Entworpe!B27</f>
        <v>0</v>
      </c>
      <c r="G30">
        <v>756</v>
      </c>
      <c r="H30" s="2">
        <f>Calopeia!F27</f>
        <v>16.529495073980069</v>
      </c>
      <c r="I30" s="2">
        <f>Sorange!E27</f>
        <v>17.959149546106065</v>
      </c>
      <c r="J30" s="2">
        <f>Tyran!D27</f>
        <v>19.409836065573771</v>
      </c>
      <c r="K30" s="2">
        <f>Fardo!D27</f>
        <v>15.704918032786885</v>
      </c>
      <c r="L30" s="2">
        <f>Entworpe!D27</f>
        <v>12.5</v>
      </c>
      <c r="M30">
        <f t="shared" si="2"/>
        <v>16</v>
      </c>
    </row>
    <row r="31" spans="1:13" x14ac:dyDescent="0.2">
      <c r="A31">
        <v>27</v>
      </c>
      <c r="B31">
        <f>Calopeia!B28</f>
        <v>17</v>
      </c>
      <c r="C31">
        <f>Sorange!B28</f>
        <v>0</v>
      </c>
      <c r="D31">
        <f>Tyran!B28</f>
        <v>0</v>
      </c>
      <c r="E31">
        <f>Fardo!B28</f>
        <v>0</v>
      </c>
      <c r="F31" s="2">
        <f>Entworpe!B28</f>
        <v>0</v>
      </c>
      <c r="G31">
        <v>757</v>
      </c>
      <c r="H31" s="2">
        <f>Calopeia!F28</f>
        <v>16.529495073980069</v>
      </c>
      <c r="I31" s="2">
        <f>Sorange!E28</f>
        <v>18.111801242236023</v>
      </c>
      <c r="J31" s="2">
        <f>Tyran!D28</f>
        <v>19.409836065573771</v>
      </c>
      <c r="K31" s="2">
        <f>Fardo!D28</f>
        <v>15.704918032786885</v>
      </c>
      <c r="L31" s="2">
        <f>Entworpe!D28</f>
        <v>12.5</v>
      </c>
      <c r="M31">
        <f t="shared" si="2"/>
        <v>17</v>
      </c>
    </row>
    <row r="32" spans="1:13" x14ac:dyDescent="0.2">
      <c r="A32">
        <v>28</v>
      </c>
      <c r="B32">
        <f>Calopeia!B29</f>
        <v>12</v>
      </c>
      <c r="C32">
        <f>Sorange!B29</f>
        <v>0</v>
      </c>
      <c r="D32">
        <f>Tyran!B29</f>
        <v>0</v>
      </c>
      <c r="E32">
        <f>Fardo!B29</f>
        <v>0</v>
      </c>
      <c r="F32" s="2">
        <f>Entworpe!B29</f>
        <v>0</v>
      </c>
      <c r="G32">
        <v>758</v>
      </c>
      <c r="H32" s="2">
        <f>Calopeia!F29</f>
        <v>16.529495073980069</v>
      </c>
      <c r="I32" s="2">
        <f>Sorange!E29</f>
        <v>18.264452938365981</v>
      </c>
      <c r="J32" s="2">
        <f>Tyran!D29</f>
        <v>19.409836065573771</v>
      </c>
      <c r="K32" s="2">
        <f>Fardo!D29</f>
        <v>15.704918032786885</v>
      </c>
      <c r="L32" s="2">
        <f>Entworpe!D29</f>
        <v>12.5</v>
      </c>
      <c r="M32">
        <f t="shared" si="2"/>
        <v>12</v>
      </c>
    </row>
    <row r="33" spans="1:13" x14ac:dyDescent="0.2">
      <c r="A33">
        <v>29</v>
      </c>
      <c r="B33">
        <f>Calopeia!B30</f>
        <v>7</v>
      </c>
      <c r="C33">
        <f>Sorange!B30</f>
        <v>0</v>
      </c>
      <c r="D33">
        <f>Tyran!B30</f>
        <v>0</v>
      </c>
      <c r="E33">
        <f>Fardo!B30</f>
        <v>0</v>
      </c>
      <c r="F33" s="2">
        <f>Entworpe!B30</f>
        <v>0</v>
      </c>
      <c r="G33">
        <v>759</v>
      </c>
      <c r="H33" s="2">
        <f>Calopeia!F30</f>
        <v>16.529495073980069</v>
      </c>
      <c r="I33" s="2">
        <f>Sorange!E30</f>
        <v>18.417104634495939</v>
      </c>
      <c r="J33" s="2">
        <f>Tyran!D30</f>
        <v>19.409836065573771</v>
      </c>
      <c r="K33" s="2">
        <f>Fardo!D30</f>
        <v>15.704918032786885</v>
      </c>
      <c r="L33" s="2">
        <f>Entworpe!D30</f>
        <v>12.5</v>
      </c>
      <c r="M33">
        <f t="shared" si="2"/>
        <v>7</v>
      </c>
    </row>
    <row r="34" spans="1:13" x14ac:dyDescent="0.2">
      <c r="A34">
        <v>30</v>
      </c>
      <c r="B34">
        <f>Calopeia!B31</f>
        <v>4</v>
      </c>
      <c r="C34">
        <f>Sorange!B31</f>
        <v>0</v>
      </c>
      <c r="D34">
        <f>Tyran!B31</f>
        <v>0</v>
      </c>
      <c r="E34">
        <f>Fardo!B31</f>
        <v>0</v>
      </c>
      <c r="F34" s="2">
        <f>Entworpe!B31</f>
        <v>0</v>
      </c>
      <c r="G34">
        <v>760</v>
      </c>
      <c r="H34" s="2">
        <f>Calopeia!F31</f>
        <v>16.529495073980069</v>
      </c>
      <c r="I34" s="2">
        <f>Sorange!E31</f>
        <v>18.569756330625896</v>
      </c>
      <c r="J34" s="2">
        <f>Tyran!D31</f>
        <v>19.409836065573771</v>
      </c>
      <c r="K34" s="2">
        <f>Fardo!D31</f>
        <v>15.704918032786885</v>
      </c>
      <c r="L34" s="2">
        <f>Entworpe!D31</f>
        <v>12.5</v>
      </c>
      <c r="M34">
        <f t="shared" si="2"/>
        <v>4</v>
      </c>
    </row>
    <row r="35" spans="1:13" x14ac:dyDescent="0.2">
      <c r="A35">
        <v>31</v>
      </c>
      <c r="B35">
        <f>Calopeia!B32</f>
        <v>25</v>
      </c>
      <c r="C35">
        <f>Sorange!B32</f>
        <v>0</v>
      </c>
      <c r="D35">
        <f>Tyran!B32</f>
        <v>0</v>
      </c>
      <c r="E35">
        <f>Fardo!B32</f>
        <v>0</v>
      </c>
      <c r="F35" s="2">
        <f>Entworpe!B32</f>
        <v>0</v>
      </c>
      <c r="G35">
        <v>761</v>
      </c>
      <c r="H35" s="2">
        <f>Calopeia!F32</f>
        <v>16.529495073980069</v>
      </c>
      <c r="I35" s="2">
        <f>Sorange!E32</f>
        <v>18.722408026755851</v>
      </c>
      <c r="J35" s="2">
        <f>Tyran!D32</f>
        <v>19.409836065573771</v>
      </c>
      <c r="K35" s="2">
        <f>Fardo!D32</f>
        <v>15.704918032786885</v>
      </c>
      <c r="L35" s="2">
        <f>Entworpe!D32</f>
        <v>12.5</v>
      </c>
      <c r="M35">
        <f t="shared" si="2"/>
        <v>25</v>
      </c>
    </row>
    <row r="36" spans="1:13" x14ac:dyDescent="0.2">
      <c r="A36">
        <v>32</v>
      </c>
      <c r="B36">
        <f>Calopeia!B33</f>
        <v>2</v>
      </c>
      <c r="C36">
        <f>Sorange!B33</f>
        <v>0</v>
      </c>
      <c r="D36">
        <f>Tyran!B33</f>
        <v>0</v>
      </c>
      <c r="E36">
        <f>Fardo!B33</f>
        <v>0</v>
      </c>
      <c r="F36" s="2">
        <f>Entworpe!B33</f>
        <v>0</v>
      </c>
      <c r="G36">
        <v>762</v>
      </c>
      <c r="H36" s="2">
        <f>Calopeia!F33</f>
        <v>16.529495073980069</v>
      </c>
      <c r="I36" s="2">
        <f>Sorange!E33</f>
        <v>18.875059722885808</v>
      </c>
      <c r="J36" s="2">
        <f>Tyran!D33</f>
        <v>19.409836065573771</v>
      </c>
      <c r="K36" s="2">
        <f>Fardo!D33</f>
        <v>15.704918032786885</v>
      </c>
      <c r="L36" s="2">
        <f>Entworpe!D33</f>
        <v>12.5</v>
      </c>
      <c r="M36">
        <f t="shared" si="2"/>
        <v>2</v>
      </c>
    </row>
    <row r="37" spans="1:13" x14ac:dyDescent="0.2">
      <c r="A37">
        <v>33</v>
      </c>
      <c r="B37">
        <f>Calopeia!B34</f>
        <v>14</v>
      </c>
      <c r="C37">
        <f>Sorange!B34</f>
        <v>0</v>
      </c>
      <c r="D37">
        <f>Tyran!B34</f>
        <v>0</v>
      </c>
      <c r="E37">
        <f>Fardo!B34</f>
        <v>0</v>
      </c>
      <c r="F37" s="2">
        <f>Entworpe!B34</f>
        <v>0</v>
      </c>
      <c r="G37">
        <v>763</v>
      </c>
      <c r="H37" s="2">
        <f>Calopeia!F34</f>
        <v>16.529495073980069</v>
      </c>
      <c r="I37" s="2">
        <f>Sorange!E34</f>
        <v>19.027711419015766</v>
      </c>
      <c r="J37" s="2">
        <f>Tyran!D34</f>
        <v>19.409836065573771</v>
      </c>
      <c r="K37" s="2">
        <f>Fardo!D34</f>
        <v>15.704918032786885</v>
      </c>
      <c r="L37" s="2">
        <f>Entworpe!D34</f>
        <v>12.5</v>
      </c>
      <c r="M37">
        <f t="shared" si="2"/>
        <v>14</v>
      </c>
    </row>
    <row r="38" spans="1:13" x14ac:dyDescent="0.2">
      <c r="A38">
        <v>34</v>
      </c>
      <c r="B38">
        <f>Calopeia!B35</f>
        <v>13</v>
      </c>
      <c r="C38">
        <f>Sorange!B35</f>
        <v>0</v>
      </c>
      <c r="D38">
        <f>Tyran!B35</f>
        <v>0</v>
      </c>
      <c r="E38">
        <f>Fardo!B35</f>
        <v>0</v>
      </c>
      <c r="F38" s="2">
        <f>Entworpe!B35</f>
        <v>0</v>
      </c>
      <c r="G38">
        <v>764</v>
      </c>
      <c r="H38" s="2">
        <f>Calopeia!F35</f>
        <v>16.529495073980069</v>
      </c>
      <c r="I38" s="2">
        <f>Sorange!E35</f>
        <v>19.180363115145724</v>
      </c>
      <c r="J38" s="2">
        <f>Tyran!D35</f>
        <v>19.409836065573771</v>
      </c>
      <c r="K38" s="2">
        <f>Fardo!D35</f>
        <v>15.704918032786885</v>
      </c>
      <c r="L38" s="2">
        <f>Entworpe!D35</f>
        <v>12.5</v>
      </c>
      <c r="M38">
        <f t="shared" si="2"/>
        <v>13</v>
      </c>
    </row>
    <row r="39" spans="1:13" x14ac:dyDescent="0.2">
      <c r="A39">
        <v>35</v>
      </c>
      <c r="B39">
        <f>Calopeia!B36</f>
        <v>25</v>
      </c>
      <c r="C39">
        <f>Sorange!B36</f>
        <v>0</v>
      </c>
      <c r="D39">
        <f>Tyran!B36</f>
        <v>0</v>
      </c>
      <c r="E39">
        <f>Fardo!B36</f>
        <v>0</v>
      </c>
      <c r="F39" s="2">
        <f>Entworpe!B36</f>
        <v>0</v>
      </c>
      <c r="G39">
        <v>765</v>
      </c>
      <c r="H39" s="2">
        <f>Calopeia!F36</f>
        <v>16.529495073980069</v>
      </c>
      <c r="I39" s="2">
        <f>Sorange!E36</f>
        <v>19.333014811275678</v>
      </c>
      <c r="J39" s="2">
        <f>Tyran!D36</f>
        <v>19.409836065573771</v>
      </c>
      <c r="K39" s="2">
        <f>Fardo!D36</f>
        <v>15.704918032786885</v>
      </c>
      <c r="L39" s="2">
        <f>Entworpe!D36</f>
        <v>12.5</v>
      </c>
      <c r="M39">
        <f t="shared" si="2"/>
        <v>25</v>
      </c>
    </row>
    <row r="40" spans="1:13" x14ac:dyDescent="0.2">
      <c r="A40">
        <v>36</v>
      </c>
      <c r="B40">
        <f>Calopeia!B37</f>
        <v>13</v>
      </c>
      <c r="C40">
        <f>Sorange!B37</f>
        <v>0</v>
      </c>
      <c r="D40">
        <f>Tyran!B37</f>
        <v>0</v>
      </c>
      <c r="E40">
        <f>Fardo!B37</f>
        <v>0</v>
      </c>
      <c r="F40" s="2">
        <f>Entworpe!B37</f>
        <v>0</v>
      </c>
      <c r="G40">
        <v>766</v>
      </c>
      <c r="H40" s="2">
        <f>Calopeia!F37</f>
        <v>16.529495073980069</v>
      </c>
      <c r="I40" s="2">
        <f>Sorange!E37</f>
        <v>19.485666507405636</v>
      </c>
      <c r="J40" s="2">
        <f>Tyran!D37</f>
        <v>19.409836065573771</v>
      </c>
      <c r="K40" s="2">
        <f>Fardo!D37</f>
        <v>15.704918032786885</v>
      </c>
      <c r="L40" s="2">
        <f>Entworpe!D37</f>
        <v>12.5</v>
      </c>
      <c r="M40">
        <f t="shared" si="2"/>
        <v>13</v>
      </c>
    </row>
    <row r="41" spans="1:13" x14ac:dyDescent="0.2">
      <c r="A41">
        <v>37</v>
      </c>
      <c r="B41">
        <f>Calopeia!B38</f>
        <v>8</v>
      </c>
      <c r="C41">
        <f>Sorange!B38</f>
        <v>0</v>
      </c>
      <c r="D41">
        <f>Tyran!B38</f>
        <v>0</v>
      </c>
      <c r="E41">
        <f>Fardo!B38</f>
        <v>0</v>
      </c>
      <c r="F41" s="2">
        <f>Entworpe!B38</f>
        <v>0</v>
      </c>
      <c r="G41">
        <v>767</v>
      </c>
      <c r="H41" s="2">
        <f>Calopeia!F38</f>
        <v>16.529495073980069</v>
      </c>
      <c r="I41" s="2">
        <f>Sorange!E38</f>
        <v>19.638318203535594</v>
      </c>
      <c r="J41" s="2">
        <f>Tyran!D38</f>
        <v>19.409836065573771</v>
      </c>
      <c r="K41" s="2">
        <f>Fardo!D38</f>
        <v>15.704918032786885</v>
      </c>
      <c r="L41" s="2">
        <f>Entworpe!D38</f>
        <v>12.5</v>
      </c>
      <c r="M41">
        <f t="shared" si="2"/>
        <v>8</v>
      </c>
    </row>
    <row r="42" spans="1:13" x14ac:dyDescent="0.2">
      <c r="A42">
        <v>38</v>
      </c>
      <c r="B42">
        <f>Calopeia!B39</f>
        <v>17</v>
      </c>
      <c r="C42">
        <f>Sorange!B39</f>
        <v>0</v>
      </c>
      <c r="D42">
        <f>Tyran!B39</f>
        <v>0</v>
      </c>
      <c r="E42">
        <f>Fardo!B39</f>
        <v>0</v>
      </c>
      <c r="F42" s="2">
        <f>Entworpe!B39</f>
        <v>0</v>
      </c>
      <c r="G42">
        <v>768</v>
      </c>
      <c r="H42" s="2">
        <f>Calopeia!F39</f>
        <v>16.529495073980069</v>
      </c>
      <c r="I42" s="2">
        <f>Sorange!E39</f>
        <v>19.790969899665551</v>
      </c>
      <c r="J42" s="2">
        <f>Tyran!D39</f>
        <v>19.409836065573771</v>
      </c>
      <c r="K42" s="2">
        <f>Fardo!D39</f>
        <v>15.704918032786885</v>
      </c>
      <c r="L42" s="2">
        <f>Entworpe!D39</f>
        <v>12.5</v>
      </c>
      <c r="M42">
        <f t="shared" si="2"/>
        <v>17</v>
      </c>
    </row>
    <row r="43" spans="1:13" x14ac:dyDescent="0.2">
      <c r="A43">
        <v>39</v>
      </c>
      <c r="B43">
        <f>Calopeia!B40</f>
        <v>24</v>
      </c>
      <c r="C43">
        <f>Sorange!B40</f>
        <v>0</v>
      </c>
      <c r="D43">
        <f>Tyran!B40</f>
        <v>0</v>
      </c>
      <c r="E43">
        <f>Fardo!B40</f>
        <v>0</v>
      </c>
      <c r="F43" s="2">
        <f>Entworpe!B40</f>
        <v>0</v>
      </c>
      <c r="G43">
        <v>769</v>
      </c>
      <c r="H43" s="2">
        <f>Calopeia!F40</f>
        <v>16.529495073980069</v>
      </c>
      <c r="I43" s="2">
        <f>Sorange!E40</f>
        <v>19.943621595795509</v>
      </c>
      <c r="J43" s="2">
        <f>Tyran!D40</f>
        <v>19.409836065573771</v>
      </c>
      <c r="K43" s="2">
        <f>Fardo!D40</f>
        <v>15.704918032786885</v>
      </c>
      <c r="L43" s="2">
        <f>Entworpe!D40</f>
        <v>12.5</v>
      </c>
      <c r="M43">
        <f t="shared" si="2"/>
        <v>24</v>
      </c>
    </row>
    <row r="44" spans="1:13" x14ac:dyDescent="0.2">
      <c r="A44">
        <v>40</v>
      </c>
      <c r="B44">
        <f>Calopeia!B41</f>
        <v>6</v>
      </c>
      <c r="C44">
        <f>Sorange!B41</f>
        <v>0</v>
      </c>
      <c r="D44">
        <f>Tyran!B41</f>
        <v>0</v>
      </c>
      <c r="E44">
        <f>Fardo!B41</f>
        <v>0</v>
      </c>
      <c r="F44" s="2">
        <f>Entworpe!B41</f>
        <v>0</v>
      </c>
      <c r="G44">
        <v>770</v>
      </c>
      <c r="H44" s="2">
        <f>Calopeia!F41</f>
        <v>16.529495073980069</v>
      </c>
      <c r="I44" s="2">
        <f>Sorange!E41</f>
        <v>20.096273291925463</v>
      </c>
      <c r="J44" s="2">
        <f>Tyran!D41</f>
        <v>19.409836065573771</v>
      </c>
      <c r="K44" s="2">
        <f>Fardo!D41</f>
        <v>15.704918032786885</v>
      </c>
      <c r="L44" s="2">
        <f>Entworpe!D41</f>
        <v>12.5</v>
      </c>
      <c r="M44">
        <f t="shared" si="2"/>
        <v>6</v>
      </c>
    </row>
    <row r="45" spans="1:13" x14ac:dyDescent="0.2">
      <c r="A45">
        <v>41</v>
      </c>
      <c r="B45">
        <f>Calopeia!B42</f>
        <v>19</v>
      </c>
      <c r="C45">
        <f>Sorange!B42</f>
        <v>0</v>
      </c>
      <c r="D45">
        <f>Tyran!B42</f>
        <v>0</v>
      </c>
      <c r="E45">
        <f>Fardo!B42</f>
        <v>0</v>
      </c>
      <c r="F45" s="2">
        <f>Entworpe!B42</f>
        <v>0</v>
      </c>
      <c r="G45">
        <v>771</v>
      </c>
      <c r="H45" s="2">
        <f>Calopeia!F42</f>
        <v>16.529495073980069</v>
      </c>
      <c r="I45" s="2">
        <f>Sorange!E42</f>
        <v>20.248924988055421</v>
      </c>
      <c r="J45" s="2">
        <f>Tyran!D42</f>
        <v>19.409836065573771</v>
      </c>
      <c r="K45" s="2">
        <f>Fardo!D42</f>
        <v>15.704918032786885</v>
      </c>
      <c r="L45" s="2">
        <f>Entworpe!D42</f>
        <v>12.5</v>
      </c>
      <c r="M45">
        <f t="shared" si="2"/>
        <v>19</v>
      </c>
    </row>
    <row r="46" spans="1:13" x14ac:dyDescent="0.2">
      <c r="A46">
        <v>42</v>
      </c>
      <c r="B46">
        <f>Calopeia!B43</f>
        <v>33</v>
      </c>
      <c r="C46">
        <f>Sorange!B43</f>
        <v>0</v>
      </c>
      <c r="D46">
        <f>Tyran!B43</f>
        <v>0</v>
      </c>
      <c r="E46">
        <f>Fardo!B43</f>
        <v>0</v>
      </c>
      <c r="F46" s="2">
        <f>Entworpe!B43</f>
        <v>0</v>
      </c>
      <c r="G46">
        <v>772</v>
      </c>
      <c r="H46" s="2">
        <f>Calopeia!F43</f>
        <v>16.529495073980069</v>
      </c>
      <c r="I46" s="2">
        <f>Sorange!E43</f>
        <v>20.401576684185379</v>
      </c>
      <c r="J46" s="2">
        <f>Tyran!D43</f>
        <v>19.409836065573771</v>
      </c>
      <c r="K46" s="2">
        <f>Fardo!D43</f>
        <v>15.704918032786885</v>
      </c>
      <c r="L46" s="2">
        <f>Entworpe!D43</f>
        <v>12.5</v>
      </c>
      <c r="M46">
        <f t="shared" si="2"/>
        <v>33</v>
      </c>
    </row>
    <row r="47" spans="1:13" x14ac:dyDescent="0.2">
      <c r="A47">
        <v>43</v>
      </c>
      <c r="B47">
        <f>Calopeia!B44</f>
        <v>7</v>
      </c>
      <c r="C47">
        <f>Sorange!B44</f>
        <v>0</v>
      </c>
      <c r="D47">
        <f>Tyran!B44</f>
        <v>0</v>
      </c>
      <c r="E47">
        <f>Fardo!B44</f>
        <v>0</v>
      </c>
      <c r="F47" s="2">
        <f>Entworpe!B44</f>
        <v>0</v>
      </c>
      <c r="G47">
        <v>773</v>
      </c>
      <c r="H47" s="2">
        <f>Calopeia!F44</f>
        <v>16.529495073980069</v>
      </c>
      <c r="I47" s="2">
        <f>Sorange!E44</f>
        <v>20.554228380315337</v>
      </c>
      <c r="J47" s="2">
        <f>Tyran!D44</f>
        <v>19.409836065573771</v>
      </c>
      <c r="K47" s="2">
        <f>Fardo!D44</f>
        <v>15.704918032786885</v>
      </c>
      <c r="L47" s="2">
        <f>Entworpe!D44</f>
        <v>12.5</v>
      </c>
      <c r="M47">
        <f t="shared" si="2"/>
        <v>7</v>
      </c>
    </row>
    <row r="48" spans="1:13" x14ac:dyDescent="0.2">
      <c r="A48">
        <v>44</v>
      </c>
      <c r="B48">
        <f>Calopeia!B45</f>
        <v>18</v>
      </c>
      <c r="C48">
        <f>Sorange!B45</f>
        <v>0</v>
      </c>
      <c r="D48">
        <f>Tyran!B45</f>
        <v>0</v>
      </c>
      <c r="E48">
        <f>Fardo!B45</f>
        <v>0</v>
      </c>
      <c r="F48" s="2">
        <f>Entworpe!B45</f>
        <v>0</v>
      </c>
      <c r="G48">
        <v>774</v>
      </c>
      <c r="H48" s="2">
        <f>Calopeia!F45</f>
        <v>16.529495073980069</v>
      </c>
      <c r="I48" s="2">
        <f>Sorange!E45</f>
        <v>20.706880076445291</v>
      </c>
      <c r="J48" s="2">
        <f>Tyran!D45</f>
        <v>19.409836065573771</v>
      </c>
      <c r="K48" s="2">
        <f>Fardo!D45</f>
        <v>15.704918032786885</v>
      </c>
      <c r="L48" s="2">
        <f>Entworpe!D45</f>
        <v>12.5</v>
      </c>
      <c r="M48">
        <f t="shared" si="2"/>
        <v>18</v>
      </c>
    </row>
    <row r="49" spans="1:13" x14ac:dyDescent="0.2">
      <c r="A49">
        <v>45</v>
      </c>
      <c r="B49">
        <f>Calopeia!B46</f>
        <v>12</v>
      </c>
      <c r="C49">
        <f>Sorange!B46</f>
        <v>0</v>
      </c>
      <c r="D49">
        <f>Tyran!B46</f>
        <v>0</v>
      </c>
      <c r="E49">
        <f>Fardo!B46</f>
        <v>0</v>
      </c>
      <c r="F49" s="2">
        <f>Entworpe!B46</f>
        <v>0</v>
      </c>
      <c r="G49">
        <v>775</v>
      </c>
      <c r="H49" s="2">
        <f>Calopeia!F46</f>
        <v>16.529495073980069</v>
      </c>
      <c r="I49" s="2">
        <f>Sorange!E46</f>
        <v>20.859531772575249</v>
      </c>
      <c r="J49" s="2">
        <f>Tyran!D46</f>
        <v>19.409836065573771</v>
      </c>
      <c r="K49" s="2">
        <f>Fardo!D46</f>
        <v>15.704918032786885</v>
      </c>
      <c r="L49" s="2">
        <f>Entworpe!D46</f>
        <v>12.5</v>
      </c>
      <c r="M49">
        <f t="shared" si="2"/>
        <v>12</v>
      </c>
    </row>
    <row r="50" spans="1:13" x14ac:dyDescent="0.2">
      <c r="A50">
        <v>46</v>
      </c>
      <c r="B50">
        <f>Calopeia!B47</f>
        <v>7</v>
      </c>
      <c r="C50">
        <f>Sorange!B47</f>
        <v>0</v>
      </c>
      <c r="D50">
        <f>Tyran!B47</f>
        <v>0</v>
      </c>
      <c r="E50">
        <f>Fardo!B47</f>
        <v>0</v>
      </c>
      <c r="F50" s="2">
        <f>Entworpe!B47</f>
        <v>0</v>
      </c>
      <c r="G50">
        <v>776</v>
      </c>
      <c r="H50" s="2">
        <f>Calopeia!F47</f>
        <v>16.529495073980069</v>
      </c>
      <c r="I50" s="2">
        <f>Sorange!E47</f>
        <v>21.012183468705206</v>
      </c>
      <c r="J50" s="2">
        <f>Tyran!D47</f>
        <v>19.409836065573771</v>
      </c>
      <c r="K50" s="2">
        <f>Fardo!D47</f>
        <v>15.704918032786885</v>
      </c>
      <c r="L50" s="2">
        <f>Entworpe!D47</f>
        <v>12.5</v>
      </c>
      <c r="M50">
        <f t="shared" si="2"/>
        <v>7</v>
      </c>
    </row>
    <row r="51" spans="1:13" x14ac:dyDescent="0.2">
      <c r="A51">
        <v>47</v>
      </c>
      <c r="B51">
        <f>Calopeia!B48</f>
        <v>3</v>
      </c>
      <c r="C51">
        <f>Sorange!B48</f>
        <v>0</v>
      </c>
      <c r="D51">
        <f>Tyran!B48</f>
        <v>0</v>
      </c>
      <c r="E51">
        <f>Fardo!B48</f>
        <v>0</v>
      </c>
      <c r="F51" s="2">
        <f>Entworpe!B48</f>
        <v>0</v>
      </c>
      <c r="G51">
        <v>777</v>
      </c>
      <c r="H51" s="2">
        <f>Calopeia!F48</f>
        <v>16.529495073980069</v>
      </c>
      <c r="I51" s="2">
        <f>Sorange!E48</f>
        <v>21.164835164835164</v>
      </c>
      <c r="J51" s="2">
        <f>Tyran!D48</f>
        <v>19.409836065573771</v>
      </c>
      <c r="K51" s="2">
        <f>Fardo!D48</f>
        <v>15.704918032786885</v>
      </c>
      <c r="L51" s="2">
        <f>Entworpe!D48</f>
        <v>12.5</v>
      </c>
      <c r="M51">
        <f t="shared" si="2"/>
        <v>3</v>
      </c>
    </row>
    <row r="52" spans="1:13" x14ac:dyDescent="0.2">
      <c r="A52">
        <v>48</v>
      </c>
      <c r="B52">
        <f>Calopeia!B49</f>
        <v>25</v>
      </c>
      <c r="C52">
        <f>Sorange!B49</f>
        <v>0</v>
      </c>
      <c r="D52">
        <f>Tyran!B49</f>
        <v>0</v>
      </c>
      <c r="E52">
        <f>Fardo!B49</f>
        <v>0</v>
      </c>
      <c r="F52" s="2">
        <f>Entworpe!B49</f>
        <v>0</v>
      </c>
      <c r="G52">
        <v>778</v>
      </c>
      <c r="H52" s="2">
        <f>Calopeia!F49</f>
        <v>16.529495073980069</v>
      </c>
      <c r="I52" s="2">
        <f>Sorange!E49</f>
        <v>21.317486860965122</v>
      </c>
      <c r="J52" s="2">
        <f>Tyran!D49</f>
        <v>19.409836065573771</v>
      </c>
      <c r="K52" s="2">
        <f>Fardo!D49</f>
        <v>15.704918032786885</v>
      </c>
      <c r="L52" s="2">
        <f>Entworpe!D49</f>
        <v>12.5</v>
      </c>
      <c r="M52">
        <f t="shared" si="2"/>
        <v>25</v>
      </c>
    </row>
    <row r="53" spans="1:13" x14ac:dyDescent="0.2">
      <c r="A53">
        <v>49</v>
      </c>
      <c r="B53">
        <f>Calopeia!B50</f>
        <v>15</v>
      </c>
      <c r="C53">
        <f>Sorange!B50</f>
        <v>0</v>
      </c>
      <c r="D53">
        <f>Tyran!B50</f>
        <v>0</v>
      </c>
      <c r="E53">
        <f>Fardo!B50</f>
        <v>0</v>
      </c>
      <c r="F53" s="2">
        <f>Entworpe!B50</f>
        <v>0</v>
      </c>
      <c r="G53">
        <v>779</v>
      </c>
      <c r="H53" s="2">
        <f>Calopeia!F50</f>
        <v>16.529495073980069</v>
      </c>
      <c r="I53" s="2">
        <f>Sorange!E50</f>
        <v>21.470138557095076</v>
      </c>
      <c r="J53" s="2">
        <f>Tyran!D50</f>
        <v>19.409836065573771</v>
      </c>
      <c r="K53" s="2">
        <f>Fardo!D50</f>
        <v>15.704918032786885</v>
      </c>
      <c r="L53" s="2">
        <f>Entworpe!D50</f>
        <v>12.5</v>
      </c>
      <c r="M53">
        <f t="shared" si="2"/>
        <v>15</v>
      </c>
    </row>
    <row r="54" spans="1:13" x14ac:dyDescent="0.2">
      <c r="A54">
        <v>50</v>
      </c>
      <c r="B54">
        <f>Calopeia!B51</f>
        <v>38</v>
      </c>
      <c r="C54">
        <f>Sorange!B51</f>
        <v>0</v>
      </c>
      <c r="D54">
        <f>Tyran!B51</f>
        <v>0</v>
      </c>
      <c r="E54">
        <f>Fardo!B51</f>
        <v>0</v>
      </c>
      <c r="F54" s="2">
        <f>Entworpe!B51</f>
        <v>0</v>
      </c>
      <c r="G54">
        <v>780</v>
      </c>
      <c r="H54" s="2">
        <f>Calopeia!F51</f>
        <v>16.529495073980069</v>
      </c>
      <c r="I54" s="2">
        <f>Sorange!E51</f>
        <v>21.622790253225034</v>
      </c>
      <c r="J54" s="2">
        <f>Tyran!D51</f>
        <v>19.409836065573771</v>
      </c>
      <c r="K54" s="2">
        <f>Fardo!D51</f>
        <v>15.704918032786885</v>
      </c>
      <c r="L54" s="2">
        <f>Entworpe!D51</f>
        <v>12.5</v>
      </c>
      <c r="M54">
        <f t="shared" si="2"/>
        <v>38</v>
      </c>
    </row>
    <row r="55" spans="1:13" x14ac:dyDescent="0.2">
      <c r="A55">
        <v>51</v>
      </c>
      <c r="B55">
        <f>Calopeia!B52</f>
        <v>28</v>
      </c>
      <c r="C55">
        <f>Sorange!B52</f>
        <v>0</v>
      </c>
      <c r="D55">
        <f>Tyran!B52</f>
        <v>0</v>
      </c>
      <c r="E55">
        <f>Fardo!B52</f>
        <v>0</v>
      </c>
      <c r="F55" s="2">
        <f>Entworpe!B52</f>
        <v>0</v>
      </c>
      <c r="G55">
        <v>781</v>
      </c>
      <c r="H55" s="2">
        <f>Calopeia!F52</f>
        <v>16.529495073980069</v>
      </c>
      <c r="I55" s="2">
        <f>Sorange!E52</f>
        <v>21.775441949354992</v>
      </c>
      <c r="J55" s="2">
        <f>Tyran!D52</f>
        <v>19.409836065573771</v>
      </c>
      <c r="K55" s="2">
        <f>Fardo!D52</f>
        <v>15.704918032786885</v>
      </c>
      <c r="L55" s="2">
        <f>Entworpe!D52</f>
        <v>12.5</v>
      </c>
      <c r="M55">
        <f t="shared" si="2"/>
        <v>28</v>
      </c>
    </row>
    <row r="56" spans="1:13" x14ac:dyDescent="0.2">
      <c r="A56">
        <v>52</v>
      </c>
      <c r="B56">
        <f>Calopeia!B53</f>
        <v>22</v>
      </c>
      <c r="C56">
        <f>Sorange!B53</f>
        <v>0</v>
      </c>
      <c r="D56">
        <f>Tyran!B53</f>
        <v>0</v>
      </c>
      <c r="E56">
        <f>Fardo!B53</f>
        <v>0</v>
      </c>
      <c r="F56" s="2">
        <f>Entworpe!B53</f>
        <v>0</v>
      </c>
      <c r="G56">
        <v>782</v>
      </c>
      <c r="H56" s="2">
        <f>Calopeia!F53</f>
        <v>16.529495073980069</v>
      </c>
      <c r="I56" s="2">
        <f>Sorange!E53</f>
        <v>21.92809364548495</v>
      </c>
      <c r="J56" s="2">
        <f>Tyran!D53</f>
        <v>19.409836065573771</v>
      </c>
      <c r="K56" s="2">
        <f>Fardo!D53</f>
        <v>15.704918032786885</v>
      </c>
      <c r="L56" s="2">
        <f>Entworpe!D53</f>
        <v>12.5</v>
      </c>
      <c r="M56">
        <f t="shared" si="2"/>
        <v>22</v>
      </c>
    </row>
    <row r="57" spans="1:13" x14ac:dyDescent="0.2">
      <c r="A57">
        <v>53</v>
      </c>
      <c r="B57">
        <f>Calopeia!B54</f>
        <v>5</v>
      </c>
      <c r="C57">
        <f>Sorange!B54</f>
        <v>0</v>
      </c>
      <c r="D57">
        <f>Tyran!B54</f>
        <v>0</v>
      </c>
      <c r="E57">
        <f>Fardo!B54</f>
        <v>0</v>
      </c>
      <c r="F57" s="2">
        <f>Entworpe!B54</f>
        <v>0</v>
      </c>
      <c r="G57">
        <v>783</v>
      </c>
      <c r="H57" s="2">
        <f>Calopeia!F54</f>
        <v>16.529495073980069</v>
      </c>
      <c r="I57" s="2">
        <f>Sorange!E54</f>
        <v>22.080745341614904</v>
      </c>
      <c r="J57" s="2">
        <f>Tyran!D54</f>
        <v>19.409836065573771</v>
      </c>
      <c r="K57" s="2">
        <f>Fardo!D54</f>
        <v>15.704918032786885</v>
      </c>
      <c r="L57" s="2">
        <f>Entworpe!D54</f>
        <v>12.5</v>
      </c>
      <c r="M57">
        <f t="shared" si="2"/>
        <v>5</v>
      </c>
    </row>
    <row r="58" spans="1:13" x14ac:dyDescent="0.2">
      <c r="A58">
        <v>54</v>
      </c>
      <c r="B58">
        <f>Calopeia!B55</f>
        <v>22</v>
      </c>
      <c r="C58">
        <f>Sorange!B55</f>
        <v>0</v>
      </c>
      <c r="D58">
        <f>Tyran!B55</f>
        <v>0</v>
      </c>
      <c r="E58">
        <f>Fardo!B55</f>
        <v>0</v>
      </c>
      <c r="F58" s="2">
        <f>Entworpe!B55</f>
        <v>0</v>
      </c>
      <c r="G58">
        <v>784</v>
      </c>
      <c r="H58" s="2">
        <f>Calopeia!F55</f>
        <v>16.529495073980069</v>
      </c>
      <c r="I58" s="2">
        <f>Sorange!E55</f>
        <v>22.233397037744862</v>
      </c>
      <c r="J58" s="2">
        <f>Tyran!D55</f>
        <v>19.409836065573771</v>
      </c>
      <c r="K58" s="2">
        <f>Fardo!D55</f>
        <v>15.704918032786885</v>
      </c>
      <c r="L58" s="2">
        <f>Entworpe!D55</f>
        <v>12.5</v>
      </c>
      <c r="M58">
        <f t="shared" si="2"/>
        <v>22</v>
      </c>
    </row>
    <row r="59" spans="1:13" x14ac:dyDescent="0.2">
      <c r="A59">
        <v>55</v>
      </c>
      <c r="B59">
        <f>Calopeia!B56</f>
        <v>6</v>
      </c>
      <c r="C59">
        <f>Sorange!B56</f>
        <v>0</v>
      </c>
      <c r="D59">
        <f>Tyran!B56</f>
        <v>0</v>
      </c>
      <c r="E59">
        <f>Fardo!B56</f>
        <v>0</v>
      </c>
      <c r="F59" s="2">
        <f>Entworpe!B56</f>
        <v>0</v>
      </c>
      <c r="G59">
        <v>785</v>
      </c>
      <c r="H59" s="2">
        <f>Calopeia!F56</f>
        <v>16.529495073980069</v>
      </c>
      <c r="I59" s="2">
        <f>Sorange!E56</f>
        <v>22.386048733874819</v>
      </c>
      <c r="J59" s="2">
        <f>Tyran!D56</f>
        <v>19.409836065573771</v>
      </c>
      <c r="K59" s="2">
        <f>Fardo!D56</f>
        <v>15.704918032786885</v>
      </c>
      <c r="L59" s="2">
        <f>Entworpe!D56</f>
        <v>12.5</v>
      </c>
      <c r="M59">
        <f t="shared" si="2"/>
        <v>6</v>
      </c>
    </row>
    <row r="60" spans="1:13" x14ac:dyDescent="0.2">
      <c r="A60">
        <v>56</v>
      </c>
      <c r="B60">
        <f>Calopeia!B57</f>
        <v>10</v>
      </c>
      <c r="C60">
        <f>Sorange!B57</f>
        <v>0</v>
      </c>
      <c r="D60">
        <f>Tyran!B57</f>
        <v>0</v>
      </c>
      <c r="E60">
        <f>Fardo!B57</f>
        <v>0</v>
      </c>
      <c r="F60" s="2">
        <f>Entworpe!B57</f>
        <v>0</v>
      </c>
      <c r="G60">
        <v>786</v>
      </c>
      <c r="H60" s="2">
        <f>Calopeia!F57</f>
        <v>16.529495073980069</v>
      </c>
      <c r="I60" s="2">
        <f>Sorange!E57</f>
        <v>22.538700430004777</v>
      </c>
      <c r="J60" s="2">
        <f>Tyran!D57</f>
        <v>19.409836065573771</v>
      </c>
      <c r="K60" s="2">
        <f>Fardo!D57</f>
        <v>15.704918032786885</v>
      </c>
      <c r="L60" s="2">
        <f>Entworpe!D57</f>
        <v>12.5</v>
      </c>
      <c r="M60">
        <f t="shared" si="2"/>
        <v>10</v>
      </c>
    </row>
    <row r="61" spans="1:13" x14ac:dyDescent="0.2">
      <c r="A61">
        <v>57</v>
      </c>
      <c r="B61">
        <f>Calopeia!B58</f>
        <v>14</v>
      </c>
      <c r="C61">
        <f>Sorange!B58</f>
        <v>0</v>
      </c>
      <c r="D61">
        <f>Tyran!B58</f>
        <v>0</v>
      </c>
      <c r="E61">
        <f>Fardo!B58</f>
        <v>0</v>
      </c>
      <c r="F61" s="2">
        <f>Entworpe!B58</f>
        <v>0</v>
      </c>
      <c r="G61">
        <v>787</v>
      </c>
      <c r="H61" s="2">
        <f>Calopeia!F58</f>
        <v>16.529495073980069</v>
      </c>
      <c r="I61" s="2">
        <f>Sorange!E58</f>
        <v>22.691352126134735</v>
      </c>
      <c r="J61" s="2">
        <f>Tyran!D58</f>
        <v>19.409836065573771</v>
      </c>
      <c r="K61" s="2">
        <f>Fardo!D58</f>
        <v>15.704918032786885</v>
      </c>
      <c r="L61" s="2">
        <f>Entworpe!D58</f>
        <v>12.5</v>
      </c>
      <c r="M61">
        <f t="shared" si="2"/>
        <v>14</v>
      </c>
    </row>
    <row r="62" spans="1:13" x14ac:dyDescent="0.2">
      <c r="A62">
        <v>58</v>
      </c>
      <c r="B62">
        <f>Calopeia!B59</f>
        <v>23</v>
      </c>
      <c r="C62">
        <f>Sorange!B59</f>
        <v>0</v>
      </c>
      <c r="D62">
        <f>Tyran!B59</f>
        <v>0</v>
      </c>
      <c r="E62">
        <f>Fardo!B59</f>
        <v>0</v>
      </c>
      <c r="F62" s="2">
        <f>Entworpe!B59</f>
        <v>0</v>
      </c>
      <c r="G62">
        <v>788</v>
      </c>
      <c r="H62" s="2">
        <f>Calopeia!F59</f>
        <v>16.529495073980069</v>
      </c>
      <c r="I62" s="2">
        <f>Sorange!E59</f>
        <v>22.844003822264689</v>
      </c>
      <c r="J62" s="2">
        <f>Tyran!D59</f>
        <v>19.409836065573771</v>
      </c>
      <c r="K62" s="2">
        <f>Fardo!D59</f>
        <v>15.704918032786885</v>
      </c>
      <c r="L62" s="2">
        <f>Entworpe!D59</f>
        <v>12.5</v>
      </c>
      <c r="M62">
        <f t="shared" si="2"/>
        <v>23</v>
      </c>
    </row>
    <row r="63" spans="1:13" x14ac:dyDescent="0.2">
      <c r="A63">
        <v>59</v>
      </c>
      <c r="B63">
        <f>Calopeia!B60</f>
        <v>40</v>
      </c>
      <c r="C63">
        <f>Sorange!B60</f>
        <v>0</v>
      </c>
      <c r="D63">
        <f>Tyran!B60</f>
        <v>0</v>
      </c>
      <c r="E63">
        <f>Fardo!B60</f>
        <v>0</v>
      </c>
      <c r="F63" s="2">
        <f>Entworpe!B60</f>
        <v>0</v>
      </c>
      <c r="G63">
        <v>789</v>
      </c>
      <c r="H63" s="2">
        <f>Calopeia!F60</f>
        <v>16.529495073980069</v>
      </c>
      <c r="I63" s="2">
        <f>Sorange!E60</f>
        <v>22.996655518394647</v>
      </c>
      <c r="J63" s="2">
        <f>Tyran!D60</f>
        <v>19.409836065573771</v>
      </c>
      <c r="K63" s="2">
        <f>Fardo!D60</f>
        <v>15.704918032786885</v>
      </c>
      <c r="L63" s="2">
        <f>Entworpe!D60</f>
        <v>12.5</v>
      </c>
      <c r="M63">
        <f t="shared" si="2"/>
        <v>40</v>
      </c>
    </row>
    <row r="64" spans="1:13" x14ac:dyDescent="0.2">
      <c r="A64">
        <v>60</v>
      </c>
      <c r="B64">
        <f>Calopeia!B61</f>
        <v>18</v>
      </c>
      <c r="C64">
        <f>Sorange!B61</f>
        <v>0</v>
      </c>
      <c r="D64">
        <f>Tyran!B61</f>
        <v>0</v>
      </c>
      <c r="E64">
        <f>Fardo!B61</f>
        <v>0</v>
      </c>
      <c r="F64" s="2">
        <f>Entworpe!B61</f>
        <v>0</v>
      </c>
      <c r="G64">
        <v>790</v>
      </c>
      <c r="H64" s="2">
        <f>Calopeia!F61</f>
        <v>16.529495073980069</v>
      </c>
      <c r="I64" s="2">
        <f>Sorange!E61</f>
        <v>23.149307214524605</v>
      </c>
      <c r="J64" s="2">
        <f>Tyran!D61</f>
        <v>19.409836065573771</v>
      </c>
      <c r="K64" s="2">
        <f>Fardo!D61</f>
        <v>15.704918032786885</v>
      </c>
      <c r="L64" s="2">
        <f>Entworpe!D61</f>
        <v>12.5</v>
      </c>
      <c r="M64">
        <f t="shared" si="2"/>
        <v>18</v>
      </c>
    </row>
    <row r="65" spans="1:13" x14ac:dyDescent="0.2">
      <c r="A65">
        <v>61</v>
      </c>
      <c r="B65">
        <f>Calopeia!B62</f>
        <v>15</v>
      </c>
      <c r="C65">
        <f>Sorange!B62</f>
        <v>0</v>
      </c>
      <c r="D65">
        <f>Tyran!B62</f>
        <v>0</v>
      </c>
      <c r="E65">
        <f>Fardo!B62</f>
        <v>0</v>
      </c>
      <c r="F65" s="2">
        <f>Entworpe!B62</f>
        <v>0</v>
      </c>
      <c r="G65">
        <v>791</v>
      </c>
      <c r="H65" s="2">
        <f>Calopeia!F62</f>
        <v>16.529495073980069</v>
      </c>
      <c r="I65" s="2">
        <f>Sorange!E62</f>
        <v>23.301958910654562</v>
      </c>
      <c r="J65" s="2">
        <f>Tyran!D62</f>
        <v>19.409836065573771</v>
      </c>
      <c r="K65" s="2">
        <f>Fardo!D62</f>
        <v>15.704918032786885</v>
      </c>
      <c r="L65" s="2">
        <f>Entworpe!D62</f>
        <v>12.5</v>
      </c>
      <c r="M65">
        <f t="shared" si="2"/>
        <v>15</v>
      </c>
    </row>
    <row r="66" spans="1:13" x14ac:dyDescent="0.2">
      <c r="A66">
        <v>62</v>
      </c>
      <c r="B66">
        <f>Calopeia!B63</f>
        <v>41</v>
      </c>
      <c r="C66">
        <f>Sorange!B63</f>
        <v>0</v>
      </c>
      <c r="D66">
        <f>Tyran!B63</f>
        <v>0</v>
      </c>
      <c r="E66">
        <f>Fardo!B63</f>
        <v>0</v>
      </c>
      <c r="F66" s="2">
        <f>Entworpe!B63</f>
        <v>0</v>
      </c>
      <c r="G66">
        <v>792</v>
      </c>
      <c r="H66" s="2">
        <f>Calopeia!F63</f>
        <v>16.529495073980069</v>
      </c>
      <c r="I66" s="2">
        <f>Sorange!E63</f>
        <v>23.45461060678452</v>
      </c>
      <c r="J66" s="2">
        <f>Tyran!D63</f>
        <v>19.409836065573771</v>
      </c>
      <c r="K66" s="2">
        <f>Fardo!D63</f>
        <v>15.704918032786885</v>
      </c>
      <c r="L66" s="2">
        <f>Entworpe!D63</f>
        <v>12.5</v>
      </c>
      <c r="M66">
        <f t="shared" si="2"/>
        <v>41</v>
      </c>
    </row>
    <row r="67" spans="1:13" x14ac:dyDescent="0.2">
      <c r="A67">
        <v>63</v>
      </c>
      <c r="B67">
        <f>Calopeia!B64</f>
        <v>30</v>
      </c>
      <c r="C67">
        <f>Sorange!B64</f>
        <v>0</v>
      </c>
      <c r="D67">
        <f>Tyran!B64</f>
        <v>0</v>
      </c>
      <c r="E67">
        <f>Fardo!B64</f>
        <v>0</v>
      </c>
      <c r="F67" s="2">
        <f>Entworpe!B64</f>
        <v>0</v>
      </c>
      <c r="G67">
        <v>793</v>
      </c>
      <c r="H67" s="2">
        <f>Calopeia!F64</f>
        <v>16.529495073980069</v>
      </c>
      <c r="I67" s="2">
        <f>Sorange!E64</f>
        <v>23.607262302914474</v>
      </c>
      <c r="J67" s="2">
        <f>Tyran!D64</f>
        <v>19.409836065573771</v>
      </c>
      <c r="K67" s="2">
        <f>Fardo!D64</f>
        <v>15.704918032786885</v>
      </c>
      <c r="L67" s="2">
        <f>Entworpe!D64</f>
        <v>12.5</v>
      </c>
      <c r="M67">
        <f t="shared" si="2"/>
        <v>30</v>
      </c>
    </row>
    <row r="68" spans="1:13" x14ac:dyDescent="0.2">
      <c r="A68">
        <v>64</v>
      </c>
      <c r="B68">
        <f>Calopeia!B65</f>
        <v>23</v>
      </c>
      <c r="C68">
        <f>Sorange!B65</f>
        <v>0</v>
      </c>
      <c r="D68">
        <f>Tyran!B65</f>
        <v>0</v>
      </c>
      <c r="E68">
        <f>Fardo!B65</f>
        <v>0</v>
      </c>
      <c r="F68" s="2">
        <f>Entworpe!B65</f>
        <v>0</v>
      </c>
      <c r="G68">
        <v>794</v>
      </c>
      <c r="H68" s="2">
        <f>Calopeia!F65</f>
        <v>16.529495073980069</v>
      </c>
      <c r="I68" s="2">
        <f>Sorange!E65</f>
        <v>23.759913999044432</v>
      </c>
      <c r="J68" s="2">
        <f>Tyran!D65</f>
        <v>19.409836065573771</v>
      </c>
      <c r="K68" s="2">
        <f>Fardo!D65</f>
        <v>15.704918032786885</v>
      </c>
      <c r="L68" s="2">
        <f>Entworpe!D65</f>
        <v>12.5</v>
      </c>
      <c r="M68">
        <f t="shared" si="2"/>
        <v>23</v>
      </c>
    </row>
    <row r="69" spans="1:13" x14ac:dyDescent="0.2">
      <c r="A69">
        <v>65</v>
      </c>
      <c r="B69">
        <f>Calopeia!B66</f>
        <v>17</v>
      </c>
      <c r="C69">
        <f>Sorange!B66</f>
        <v>0</v>
      </c>
      <c r="D69">
        <f>Tyran!B66</f>
        <v>0</v>
      </c>
      <c r="E69">
        <f>Fardo!B66</f>
        <v>0</v>
      </c>
      <c r="F69" s="2">
        <f>Entworpe!B66</f>
        <v>0</v>
      </c>
      <c r="G69">
        <v>795</v>
      </c>
      <c r="H69" s="2">
        <f>Calopeia!F66</f>
        <v>16.529495073980069</v>
      </c>
      <c r="I69" s="2">
        <f>Sorange!E66</f>
        <v>23.91256569517439</v>
      </c>
      <c r="J69" s="2">
        <f>Tyran!D66</f>
        <v>19.409836065573771</v>
      </c>
      <c r="K69" s="2">
        <f>Fardo!D66</f>
        <v>15.704918032786885</v>
      </c>
      <c r="L69" s="2">
        <f>Entworpe!D66</f>
        <v>12.5</v>
      </c>
      <c r="M69">
        <f t="shared" si="2"/>
        <v>17</v>
      </c>
    </row>
    <row r="70" spans="1:13" x14ac:dyDescent="0.2">
      <c r="A70">
        <v>66</v>
      </c>
      <c r="B70">
        <f>Calopeia!B67</f>
        <v>28</v>
      </c>
      <c r="C70">
        <f>Sorange!B67</f>
        <v>0</v>
      </c>
      <c r="D70">
        <f>Tyran!B67</f>
        <v>0</v>
      </c>
      <c r="E70">
        <f>Fardo!B67</f>
        <v>0</v>
      </c>
      <c r="F70" s="2">
        <f>Entworpe!B67</f>
        <v>0</v>
      </c>
      <c r="G70">
        <v>796</v>
      </c>
      <c r="H70" s="2">
        <f>Calopeia!F67</f>
        <v>16.529495073980069</v>
      </c>
      <c r="I70" s="2">
        <f>Sorange!E67</f>
        <v>24.065217391304348</v>
      </c>
      <c r="J70" s="2">
        <f>Tyran!D67</f>
        <v>19.409836065573771</v>
      </c>
      <c r="K70" s="2">
        <f>Fardo!D67</f>
        <v>15.704918032786885</v>
      </c>
      <c r="L70" s="2">
        <f>Entworpe!D67</f>
        <v>12.5</v>
      </c>
      <c r="M70">
        <f t="shared" ref="M70:M133" si="3">B70+F70</f>
        <v>28</v>
      </c>
    </row>
    <row r="71" spans="1:13" x14ac:dyDescent="0.2">
      <c r="A71">
        <v>67</v>
      </c>
      <c r="B71">
        <f>Calopeia!B68</f>
        <v>33</v>
      </c>
      <c r="C71">
        <f>Sorange!B68</f>
        <v>0</v>
      </c>
      <c r="D71">
        <f>Tyran!B68</f>
        <v>0</v>
      </c>
      <c r="E71">
        <f>Fardo!B68</f>
        <v>0</v>
      </c>
      <c r="F71" s="2">
        <f>Entworpe!B68</f>
        <v>0</v>
      </c>
      <c r="G71">
        <v>797</v>
      </c>
      <c r="H71" s="2">
        <f>Calopeia!F68</f>
        <v>16.529495073980069</v>
      </c>
      <c r="I71" s="2">
        <f>Sorange!E68</f>
        <v>24.217869087434302</v>
      </c>
      <c r="J71" s="2">
        <f>Tyran!D68</f>
        <v>19.409836065573771</v>
      </c>
      <c r="K71" s="2">
        <f>Fardo!D68</f>
        <v>15.704918032786885</v>
      </c>
      <c r="L71" s="2">
        <f>Entworpe!D68</f>
        <v>12.5</v>
      </c>
      <c r="M71">
        <f t="shared" si="3"/>
        <v>33</v>
      </c>
    </row>
    <row r="72" spans="1:13" x14ac:dyDescent="0.2">
      <c r="A72">
        <v>68</v>
      </c>
      <c r="B72">
        <f>Calopeia!B69</f>
        <v>28</v>
      </c>
      <c r="C72">
        <f>Sorange!B69</f>
        <v>0</v>
      </c>
      <c r="D72">
        <f>Tyran!B69</f>
        <v>0</v>
      </c>
      <c r="E72">
        <f>Fardo!B69</f>
        <v>0</v>
      </c>
      <c r="F72" s="2">
        <f>Entworpe!B69</f>
        <v>0</v>
      </c>
      <c r="G72">
        <v>798</v>
      </c>
      <c r="H72" s="2">
        <f>Calopeia!F69</f>
        <v>16.529495073980069</v>
      </c>
      <c r="I72" s="2">
        <f>Sorange!E69</f>
        <v>24.37052078356426</v>
      </c>
      <c r="J72" s="2">
        <f>Tyran!D69</f>
        <v>19.409836065573771</v>
      </c>
      <c r="K72" s="2">
        <f>Fardo!D69</f>
        <v>15.704918032786885</v>
      </c>
      <c r="L72" s="2">
        <f>Entworpe!D69</f>
        <v>12.5</v>
      </c>
      <c r="M72">
        <f t="shared" si="3"/>
        <v>28</v>
      </c>
    </row>
    <row r="73" spans="1:13" x14ac:dyDescent="0.2">
      <c r="A73">
        <v>69</v>
      </c>
      <c r="B73">
        <f>Calopeia!B70</f>
        <v>17</v>
      </c>
      <c r="C73">
        <f>Sorange!B70</f>
        <v>0</v>
      </c>
      <c r="D73">
        <f>Tyran!B70</f>
        <v>0</v>
      </c>
      <c r="E73">
        <f>Fardo!B70</f>
        <v>0</v>
      </c>
      <c r="F73" s="2">
        <f>Entworpe!B70</f>
        <v>0</v>
      </c>
      <c r="G73">
        <v>799</v>
      </c>
      <c r="H73" s="2">
        <f>Calopeia!F70</f>
        <v>16.529495073980069</v>
      </c>
      <c r="I73" s="2">
        <f>Sorange!E70</f>
        <v>24.523172479694217</v>
      </c>
      <c r="J73" s="2">
        <f>Tyran!D70</f>
        <v>19.409836065573771</v>
      </c>
      <c r="K73" s="2">
        <f>Fardo!D70</f>
        <v>15.704918032786885</v>
      </c>
      <c r="L73" s="2">
        <f>Entworpe!D70</f>
        <v>12.5</v>
      </c>
      <c r="M73">
        <f t="shared" si="3"/>
        <v>17</v>
      </c>
    </row>
    <row r="74" spans="1:13" x14ac:dyDescent="0.2">
      <c r="A74">
        <v>70</v>
      </c>
      <c r="B74">
        <f>Calopeia!B71</f>
        <v>55</v>
      </c>
      <c r="C74">
        <f>Sorange!B71</f>
        <v>0</v>
      </c>
      <c r="D74">
        <f>Tyran!B71</f>
        <v>0</v>
      </c>
      <c r="E74">
        <f>Fardo!B71</f>
        <v>0</v>
      </c>
      <c r="F74" s="2">
        <f>Entworpe!B71</f>
        <v>0</v>
      </c>
      <c r="G74">
        <v>800</v>
      </c>
      <c r="H74" s="2">
        <f>Calopeia!F71</f>
        <v>16.529495073980069</v>
      </c>
      <c r="I74" s="2">
        <f>Sorange!E71</f>
        <v>24.675824175824175</v>
      </c>
      <c r="J74" s="2">
        <f>Tyran!D71</f>
        <v>19.409836065573771</v>
      </c>
      <c r="K74" s="2">
        <f>Fardo!D71</f>
        <v>15.704918032786885</v>
      </c>
      <c r="L74" s="2">
        <f>Entworpe!D71</f>
        <v>12.5</v>
      </c>
      <c r="M74">
        <f t="shared" si="3"/>
        <v>55</v>
      </c>
    </row>
    <row r="75" spans="1:13" x14ac:dyDescent="0.2">
      <c r="A75">
        <v>71</v>
      </c>
      <c r="B75">
        <f>Calopeia!B72</f>
        <v>15</v>
      </c>
      <c r="C75">
        <f>Sorange!B72</f>
        <v>0</v>
      </c>
      <c r="D75">
        <f>Tyran!B72</f>
        <v>0</v>
      </c>
      <c r="E75">
        <f>Fardo!B72</f>
        <v>0</v>
      </c>
      <c r="F75" s="2">
        <f>Entworpe!B72</f>
        <v>0</v>
      </c>
      <c r="G75">
        <v>801</v>
      </c>
      <c r="H75" s="2">
        <f>Calopeia!F72</f>
        <v>16.529495073980069</v>
      </c>
      <c r="I75" s="2">
        <f>Sorange!E72</f>
        <v>24.828475871954133</v>
      </c>
      <c r="J75" s="2">
        <f>Tyran!D72</f>
        <v>19.409836065573771</v>
      </c>
      <c r="K75" s="2">
        <f>Fardo!D72</f>
        <v>15.704918032786885</v>
      </c>
      <c r="L75" s="2">
        <f>Entworpe!D72</f>
        <v>12.5</v>
      </c>
      <c r="M75">
        <f t="shared" si="3"/>
        <v>15</v>
      </c>
    </row>
    <row r="76" spans="1:13" x14ac:dyDescent="0.2">
      <c r="A76">
        <v>72</v>
      </c>
      <c r="B76">
        <f>Calopeia!B73</f>
        <v>35</v>
      </c>
      <c r="C76">
        <f>Sorange!B73</f>
        <v>0</v>
      </c>
      <c r="D76">
        <f>Tyran!B73</f>
        <v>0</v>
      </c>
      <c r="E76">
        <f>Fardo!B73</f>
        <v>0</v>
      </c>
      <c r="F76" s="2">
        <f>Entworpe!B73</f>
        <v>0</v>
      </c>
      <c r="G76">
        <v>802</v>
      </c>
      <c r="H76" s="2">
        <f>Calopeia!F73</f>
        <v>16.529495073980069</v>
      </c>
      <c r="I76" s="2">
        <f>Sorange!E73</f>
        <v>24.981127568084087</v>
      </c>
      <c r="J76" s="2">
        <f>Tyran!D73</f>
        <v>19.409836065573771</v>
      </c>
      <c r="K76" s="2">
        <f>Fardo!D73</f>
        <v>15.704918032786885</v>
      </c>
      <c r="L76" s="2">
        <f>Entworpe!D73</f>
        <v>12.5</v>
      </c>
      <c r="M76">
        <f t="shared" si="3"/>
        <v>35</v>
      </c>
    </row>
    <row r="77" spans="1:13" x14ac:dyDescent="0.2">
      <c r="A77">
        <v>73</v>
      </c>
      <c r="B77">
        <f>Calopeia!B74</f>
        <v>50</v>
      </c>
      <c r="C77">
        <f>Sorange!B74</f>
        <v>0</v>
      </c>
      <c r="D77">
        <f>Tyran!B74</f>
        <v>0</v>
      </c>
      <c r="E77">
        <f>Fardo!B74</f>
        <v>0</v>
      </c>
      <c r="F77" s="2">
        <f>Entworpe!B74</f>
        <v>0</v>
      </c>
      <c r="G77">
        <v>803</v>
      </c>
      <c r="H77" s="2">
        <f>Calopeia!F74</f>
        <v>16.529495073980069</v>
      </c>
      <c r="I77" s="2">
        <f>Sorange!E74</f>
        <v>25.133779264214045</v>
      </c>
      <c r="J77" s="2">
        <f>Tyran!D74</f>
        <v>19.409836065573771</v>
      </c>
      <c r="K77" s="2">
        <f>Fardo!D74</f>
        <v>15.704918032786885</v>
      </c>
      <c r="L77" s="2">
        <f>Entworpe!D74</f>
        <v>12.5</v>
      </c>
      <c r="M77">
        <f t="shared" si="3"/>
        <v>50</v>
      </c>
    </row>
    <row r="78" spans="1:13" x14ac:dyDescent="0.2">
      <c r="A78">
        <v>74</v>
      </c>
      <c r="B78">
        <f>Calopeia!B75</f>
        <v>39</v>
      </c>
      <c r="C78">
        <f>Sorange!B75</f>
        <v>0</v>
      </c>
      <c r="D78">
        <f>Tyran!B75</f>
        <v>0</v>
      </c>
      <c r="E78">
        <f>Fardo!B75</f>
        <v>0</v>
      </c>
      <c r="F78" s="2">
        <f>Entworpe!B75</f>
        <v>0</v>
      </c>
      <c r="G78">
        <v>804</v>
      </c>
      <c r="H78" s="2">
        <f>Calopeia!F75</f>
        <v>46.092250657496905</v>
      </c>
      <c r="I78" s="2">
        <f>Sorange!E75</f>
        <v>25.286430960344003</v>
      </c>
      <c r="J78" s="2">
        <f>Tyran!D75</f>
        <v>19.409836065573771</v>
      </c>
      <c r="K78" s="2">
        <f>Fardo!D75</f>
        <v>15.704918032786885</v>
      </c>
      <c r="L78" s="2">
        <f>Entworpe!D75</f>
        <v>12.5</v>
      </c>
      <c r="M78">
        <f t="shared" si="3"/>
        <v>39</v>
      </c>
    </row>
    <row r="79" spans="1:13" x14ac:dyDescent="0.2">
      <c r="A79">
        <v>75</v>
      </c>
      <c r="B79">
        <f>Calopeia!B76</f>
        <v>50</v>
      </c>
      <c r="C79">
        <f>Sorange!B76</f>
        <v>0</v>
      </c>
      <c r="D79">
        <f>Tyran!B76</f>
        <v>0</v>
      </c>
      <c r="E79">
        <f>Fardo!B76</f>
        <v>0</v>
      </c>
      <c r="F79" s="2">
        <f>Entworpe!B76</f>
        <v>0</v>
      </c>
      <c r="G79">
        <v>805</v>
      </c>
      <c r="H79" s="2">
        <f>Calopeia!F76</f>
        <v>46.092250657496905</v>
      </c>
      <c r="I79" s="2">
        <f>Sorange!E76</f>
        <v>25.43908265647396</v>
      </c>
      <c r="J79" s="2">
        <f>Tyran!D76</f>
        <v>19.409836065573771</v>
      </c>
      <c r="K79" s="2">
        <f>Fardo!D76</f>
        <v>15.704918032786885</v>
      </c>
      <c r="L79" s="2">
        <f>Entworpe!D76</f>
        <v>12.5</v>
      </c>
      <c r="M79">
        <f t="shared" si="3"/>
        <v>50</v>
      </c>
    </row>
    <row r="80" spans="1:13" x14ac:dyDescent="0.2">
      <c r="A80">
        <v>76</v>
      </c>
      <c r="B80">
        <f>Calopeia!B77</f>
        <v>35</v>
      </c>
      <c r="C80">
        <f>Sorange!B77</f>
        <v>0</v>
      </c>
      <c r="D80">
        <f>Tyran!B77</f>
        <v>0</v>
      </c>
      <c r="E80">
        <f>Fardo!B77</f>
        <v>0</v>
      </c>
      <c r="F80" s="2">
        <f>Entworpe!B77</f>
        <v>0</v>
      </c>
      <c r="G80">
        <v>806</v>
      </c>
      <c r="H80" s="2">
        <f>Calopeia!F77</f>
        <v>46.092250657496905</v>
      </c>
      <c r="I80" s="2">
        <f>Sorange!E77</f>
        <v>25.591734352603915</v>
      </c>
      <c r="J80" s="2">
        <f>Tyran!D77</f>
        <v>19.409836065573771</v>
      </c>
      <c r="K80" s="2">
        <f>Fardo!D77</f>
        <v>15.704918032786885</v>
      </c>
      <c r="L80" s="2">
        <f>Entworpe!D77</f>
        <v>12.5</v>
      </c>
      <c r="M80">
        <f t="shared" si="3"/>
        <v>35</v>
      </c>
    </row>
    <row r="81" spans="1:13" x14ac:dyDescent="0.2">
      <c r="A81">
        <v>77</v>
      </c>
      <c r="B81">
        <f>Calopeia!B78</f>
        <v>45</v>
      </c>
      <c r="C81">
        <f>Sorange!B78</f>
        <v>0</v>
      </c>
      <c r="D81">
        <f>Tyran!B78</f>
        <v>0</v>
      </c>
      <c r="E81">
        <f>Fardo!B78</f>
        <v>0</v>
      </c>
      <c r="F81" s="2">
        <f>Entworpe!B78</f>
        <v>0</v>
      </c>
      <c r="G81">
        <v>807</v>
      </c>
      <c r="H81" s="2">
        <f>Calopeia!F78</f>
        <v>46.092250657496905</v>
      </c>
      <c r="I81" s="2">
        <f>Sorange!E78</f>
        <v>25.744386048733872</v>
      </c>
      <c r="J81" s="2">
        <f>Tyran!D78</f>
        <v>19.409836065573771</v>
      </c>
      <c r="K81" s="2">
        <f>Fardo!D78</f>
        <v>15.704918032786885</v>
      </c>
      <c r="L81" s="2">
        <f>Entworpe!D78</f>
        <v>12.5</v>
      </c>
      <c r="M81">
        <f t="shared" si="3"/>
        <v>45</v>
      </c>
    </row>
    <row r="82" spans="1:13" x14ac:dyDescent="0.2">
      <c r="A82">
        <v>78</v>
      </c>
      <c r="B82">
        <f>Calopeia!B79</f>
        <v>69</v>
      </c>
      <c r="C82">
        <f>Sorange!B79</f>
        <v>0</v>
      </c>
      <c r="D82">
        <f>Tyran!B79</f>
        <v>0</v>
      </c>
      <c r="E82">
        <f>Fardo!B79</f>
        <v>0</v>
      </c>
      <c r="F82" s="2">
        <f>Entworpe!B79</f>
        <v>0</v>
      </c>
      <c r="G82">
        <v>808</v>
      </c>
      <c r="H82" s="2">
        <f>Calopeia!F79</f>
        <v>46.092250657496905</v>
      </c>
      <c r="I82" s="2">
        <f>Sorange!E79</f>
        <v>25.89703774486383</v>
      </c>
      <c r="J82" s="2">
        <f>Tyran!D79</f>
        <v>19.409836065573771</v>
      </c>
      <c r="K82" s="2">
        <f>Fardo!D79</f>
        <v>15.704918032786885</v>
      </c>
      <c r="L82" s="2">
        <f>Entworpe!D79</f>
        <v>12.5</v>
      </c>
      <c r="M82">
        <f t="shared" si="3"/>
        <v>69</v>
      </c>
    </row>
    <row r="83" spans="1:13" x14ac:dyDescent="0.2">
      <c r="A83">
        <v>79</v>
      </c>
      <c r="B83">
        <f>Calopeia!B80</f>
        <v>38</v>
      </c>
      <c r="C83">
        <f>Sorange!B80</f>
        <v>0</v>
      </c>
      <c r="D83">
        <f>Tyran!B80</f>
        <v>0</v>
      </c>
      <c r="E83">
        <f>Fardo!B80</f>
        <v>0</v>
      </c>
      <c r="F83" s="2">
        <f>Entworpe!B80</f>
        <v>0</v>
      </c>
      <c r="G83">
        <v>809</v>
      </c>
      <c r="H83" s="2">
        <f>Calopeia!F80</f>
        <v>46.092250657496905</v>
      </c>
      <c r="I83" s="2">
        <f>Sorange!E80</f>
        <v>26.049689440993788</v>
      </c>
      <c r="J83" s="2">
        <f>Tyran!D80</f>
        <v>19.409836065573771</v>
      </c>
      <c r="K83" s="2">
        <f>Fardo!D80</f>
        <v>15.704918032786885</v>
      </c>
      <c r="L83" s="2">
        <f>Entworpe!D80</f>
        <v>12.5</v>
      </c>
      <c r="M83">
        <f t="shared" si="3"/>
        <v>38</v>
      </c>
    </row>
    <row r="84" spans="1:13" x14ac:dyDescent="0.2">
      <c r="A84">
        <v>80</v>
      </c>
      <c r="B84">
        <f>Calopeia!B81</f>
        <v>23</v>
      </c>
      <c r="C84">
        <f>Sorange!B81</f>
        <v>0</v>
      </c>
      <c r="D84">
        <f>Tyran!B81</f>
        <v>0</v>
      </c>
      <c r="E84">
        <f>Fardo!B81</f>
        <v>0</v>
      </c>
      <c r="F84" s="2">
        <f>Entworpe!B81</f>
        <v>0</v>
      </c>
      <c r="G84">
        <v>810</v>
      </c>
      <c r="H84" s="2">
        <f>Calopeia!F81</f>
        <v>46.092250657496905</v>
      </c>
      <c r="I84" s="2">
        <f>Sorange!E81</f>
        <v>26.202341137123746</v>
      </c>
      <c r="J84" s="2">
        <f>Tyran!D81</f>
        <v>19.409836065573771</v>
      </c>
      <c r="K84" s="2">
        <f>Fardo!D81</f>
        <v>15.704918032786885</v>
      </c>
      <c r="L84" s="2">
        <f>Entworpe!D81</f>
        <v>12.5</v>
      </c>
      <c r="M84">
        <f t="shared" si="3"/>
        <v>23</v>
      </c>
    </row>
    <row r="85" spans="1:13" x14ac:dyDescent="0.2">
      <c r="A85">
        <v>81</v>
      </c>
      <c r="B85">
        <f>Calopeia!B82</f>
        <v>19</v>
      </c>
      <c r="C85">
        <f>Sorange!B82</f>
        <v>0</v>
      </c>
      <c r="D85">
        <f>Tyran!B82</f>
        <v>0</v>
      </c>
      <c r="E85">
        <f>Fardo!B82</f>
        <v>0</v>
      </c>
      <c r="F85" s="2">
        <f>Entworpe!B82</f>
        <v>0</v>
      </c>
      <c r="G85">
        <v>811</v>
      </c>
      <c r="H85" s="2">
        <f>Calopeia!F82</f>
        <v>46.092250657496905</v>
      </c>
      <c r="I85" s="2">
        <f>Sorange!E82</f>
        <v>26.3549928332537</v>
      </c>
      <c r="J85" s="2">
        <f>Tyran!D82</f>
        <v>19.409836065573771</v>
      </c>
      <c r="K85" s="2">
        <f>Fardo!D82</f>
        <v>15.704918032786885</v>
      </c>
      <c r="L85" s="2">
        <f>Entworpe!D82</f>
        <v>12.5</v>
      </c>
      <c r="M85">
        <f t="shared" si="3"/>
        <v>19</v>
      </c>
    </row>
    <row r="86" spans="1:13" x14ac:dyDescent="0.2">
      <c r="A86">
        <v>82</v>
      </c>
      <c r="B86">
        <f>Calopeia!B83</f>
        <v>42</v>
      </c>
      <c r="C86">
        <f>Sorange!B83</f>
        <v>0</v>
      </c>
      <c r="D86">
        <f>Tyran!B83</f>
        <v>0</v>
      </c>
      <c r="E86">
        <f>Fardo!B83</f>
        <v>0</v>
      </c>
      <c r="F86" s="2">
        <f>Entworpe!B83</f>
        <v>0</v>
      </c>
      <c r="G86">
        <v>812</v>
      </c>
      <c r="H86" s="2">
        <f>Calopeia!F83</f>
        <v>46.092250657496905</v>
      </c>
      <c r="I86" s="2">
        <f>Sorange!E83</f>
        <v>26.507644529383658</v>
      </c>
      <c r="J86" s="2">
        <f>Tyran!D83</f>
        <v>19.409836065573771</v>
      </c>
      <c r="K86" s="2">
        <f>Fardo!D83</f>
        <v>15.704918032786885</v>
      </c>
      <c r="L86" s="2">
        <f>Entworpe!D83</f>
        <v>12.5</v>
      </c>
      <c r="M86">
        <f t="shared" si="3"/>
        <v>42</v>
      </c>
    </row>
    <row r="87" spans="1:13" x14ac:dyDescent="0.2">
      <c r="A87">
        <v>83</v>
      </c>
      <c r="B87">
        <f>Calopeia!B84</f>
        <v>39</v>
      </c>
      <c r="C87">
        <f>Sorange!B84</f>
        <v>0</v>
      </c>
      <c r="D87">
        <f>Tyran!B84</f>
        <v>0</v>
      </c>
      <c r="E87">
        <f>Fardo!B84</f>
        <v>0</v>
      </c>
      <c r="F87" s="2">
        <f>Entworpe!B84</f>
        <v>0</v>
      </c>
      <c r="G87">
        <v>813</v>
      </c>
      <c r="H87" s="2">
        <f>Calopeia!F84</f>
        <v>46.092250657496905</v>
      </c>
      <c r="I87" s="2">
        <f>Sorange!E84</f>
        <v>26.660296225513616</v>
      </c>
      <c r="J87" s="2">
        <f>Tyran!D84</f>
        <v>19.409836065573771</v>
      </c>
      <c r="K87" s="2">
        <f>Fardo!D84</f>
        <v>15.704918032786885</v>
      </c>
      <c r="L87" s="2">
        <f>Entworpe!D84</f>
        <v>12.5</v>
      </c>
      <c r="M87">
        <f t="shared" si="3"/>
        <v>39</v>
      </c>
    </row>
    <row r="88" spans="1:13" x14ac:dyDescent="0.2">
      <c r="A88">
        <v>84</v>
      </c>
      <c r="B88">
        <f>Calopeia!B85</f>
        <v>27</v>
      </c>
      <c r="C88">
        <f>Sorange!B85</f>
        <v>0</v>
      </c>
      <c r="D88">
        <f>Tyran!B85</f>
        <v>0</v>
      </c>
      <c r="E88">
        <f>Fardo!B85</f>
        <v>0</v>
      </c>
      <c r="F88" s="2">
        <f>Entworpe!B85</f>
        <v>0</v>
      </c>
      <c r="G88">
        <v>814</v>
      </c>
      <c r="H88" s="2">
        <f>Calopeia!F85</f>
        <v>46.092250657496905</v>
      </c>
      <c r="I88" s="2">
        <f>Sorange!E85</f>
        <v>26.812947921643573</v>
      </c>
      <c r="J88" s="2">
        <f>Tyran!D85</f>
        <v>19.409836065573771</v>
      </c>
      <c r="K88" s="2">
        <f>Fardo!D85</f>
        <v>15.704918032786885</v>
      </c>
      <c r="L88" s="2">
        <f>Entworpe!D85</f>
        <v>12.5</v>
      </c>
      <c r="M88">
        <f t="shared" si="3"/>
        <v>27</v>
      </c>
    </row>
    <row r="89" spans="1:13" x14ac:dyDescent="0.2">
      <c r="A89">
        <v>85</v>
      </c>
      <c r="B89">
        <f>Calopeia!B86</f>
        <v>19</v>
      </c>
      <c r="C89">
        <f>Sorange!B86</f>
        <v>0</v>
      </c>
      <c r="D89">
        <f>Tyran!B86</f>
        <v>0</v>
      </c>
      <c r="E89">
        <f>Fardo!B86</f>
        <v>0</v>
      </c>
      <c r="F89" s="2">
        <f>Entworpe!B86</f>
        <v>0</v>
      </c>
      <c r="G89">
        <v>815</v>
      </c>
      <c r="H89" s="2">
        <f>Calopeia!F86</f>
        <v>46.092250657496905</v>
      </c>
      <c r="I89" s="2">
        <f>Sorange!E86</f>
        <v>26.965599617773531</v>
      </c>
      <c r="J89" s="2">
        <f>Tyran!D86</f>
        <v>19.409836065573771</v>
      </c>
      <c r="K89" s="2">
        <f>Fardo!D86</f>
        <v>15.704918032786885</v>
      </c>
      <c r="L89" s="2">
        <f>Entworpe!D86</f>
        <v>12.5</v>
      </c>
      <c r="M89">
        <f t="shared" si="3"/>
        <v>19</v>
      </c>
    </row>
    <row r="90" spans="1:13" x14ac:dyDescent="0.2">
      <c r="A90">
        <v>86</v>
      </c>
      <c r="B90">
        <f>Calopeia!B87</f>
        <v>22</v>
      </c>
      <c r="C90">
        <f>Sorange!B87</f>
        <v>0</v>
      </c>
      <c r="D90">
        <f>Tyran!B87</f>
        <v>0</v>
      </c>
      <c r="E90">
        <f>Fardo!B87</f>
        <v>0</v>
      </c>
      <c r="F90" s="2">
        <f>Entworpe!B87</f>
        <v>0</v>
      </c>
      <c r="G90">
        <v>816</v>
      </c>
      <c r="H90" s="2">
        <f>Calopeia!F87</f>
        <v>46.092250657496905</v>
      </c>
      <c r="I90" s="2">
        <f>Sorange!E87</f>
        <v>27.118251313903485</v>
      </c>
      <c r="J90" s="2">
        <f>Tyran!D87</f>
        <v>19.409836065573771</v>
      </c>
      <c r="K90" s="2">
        <f>Fardo!D87</f>
        <v>15.704918032786885</v>
      </c>
      <c r="L90" s="2">
        <f>Entworpe!D87</f>
        <v>12.5</v>
      </c>
      <c r="M90">
        <f t="shared" si="3"/>
        <v>22</v>
      </c>
    </row>
    <row r="91" spans="1:13" x14ac:dyDescent="0.2">
      <c r="A91">
        <v>87</v>
      </c>
      <c r="B91">
        <f>Calopeia!B88</f>
        <v>32</v>
      </c>
      <c r="C91">
        <f>Sorange!B88</f>
        <v>0</v>
      </c>
      <c r="D91">
        <f>Tyran!B88</f>
        <v>0</v>
      </c>
      <c r="E91">
        <f>Fardo!B88</f>
        <v>0</v>
      </c>
      <c r="F91" s="2">
        <f>Entworpe!B88</f>
        <v>0</v>
      </c>
      <c r="G91">
        <v>817</v>
      </c>
      <c r="H91" s="2">
        <f>Calopeia!F88</f>
        <v>46.092250657496905</v>
      </c>
      <c r="I91" s="2">
        <f>Sorange!E88</f>
        <v>27.270903010033443</v>
      </c>
      <c r="J91" s="2">
        <f>Tyran!D88</f>
        <v>19.409836065573771</v>
      </c>
      <c r="K91" s="2">
        <f>Fardo!D88</f>
        <v>15.704918032786885</v>
      </c>
      <c r="L91" s="2">
        <f>Entworpe!D88</f>
        <v>12.5</v>
      </c>
      <c r="M91">
        <f t="shared" si="3"/>
        <v>32</v>
      </c>
    </row>
    <row r="92" spans="1:13" x14ac:dyDescent="0.2">
      <c r="A92">
        <v>88</v>
      </c>
      <c r="B92">
        <f>Calopeia!B89</f>
        <v>27</v>
      </c>
      <c r="C92">
        <f>Sorange!B89</f>
        <v>0</v>
      </c>
      <c r="D92">
        <f>Tyran!B89</f>
        <v>0</v>
      </c>
      <c r="E92">
        <f>Fardo!B89</f>
        <v>0</v>
      </c>
      <c r="F92" s="2">
        <f>Entworpe!B89</f>
        <v>0</v>
      </c>
      <c r="G92">
        <v>818</v>
      </c>
      <c r="H92" s="2">
        <f>Calopeia!F89</f>
        <v>46.092250657496905</v>
      </c>
      <c r="I92" s="2">
        <f>Sorange!E89</f>
        <v>27.423554706163401</v>
      </c>
      <c r="J92" s="2">
        <f>Tyran!D89</f>
        <v>19.409836065573771</v>
      </c>
      <c r="K92" s="2">
        <f>Fardo!D89</f>
        <v>15.704918032786885</v>
      </c>
      <c r="L92" s="2">
        <f>Entworpe!D89</f>
        <v>12.5</v>
      </c>
      <c r="M92">
        <f t="shared" si="3"/>
        <v>27</v>
      </c>
    </row>
    <row r="93" spans="1:13" x14ac:dyDescent="0.2">
      <c r="A93">
        <v>89</v>
      </c>
      <c r="B93">
        <f>Calopeia!B90</f>
        <v>36</v>
      </c>
      <c r="C93">
        <f>Sorange!B90</f>
        <v>0</v>
      </c>
      <c r="D93">
        <f>Tyran!B90</f>
        <v>0</v>
      </c>
      <c r="E93">
        <f>Fardo!B90</f>
        <v>0</v>
      </c>
      <c r="F93" s="2">
        <f>Entworpe!B90</f>
        <v>0</v>
      </c>
      <c r="G93">
        <v>819</v>
      </c>
      <c r="H93" s="2">
        <f>Calopeia!F90</f>
        <v>46.092250657496905</v>
      </c>
      <c r="I93" s="2">
        <f>Sorange!E90</f>
        <v>27.576206402293359</v>
      </c>
      <c r="J93" s="2">
        <f>Tyran!D90</f>
        <v>19.409836065573771</v>
      </c>
      <c r="K93" s="2">
        <f>Fardo!D90</f>
        <v>15.704918032786885</v>
      </c>
      <c r="L93" s="2">
        <f>Entworpe!D90</f>
        <v>12.5</v>
      </c>
      <c r="M93">
        <f t="shared" si="3"/>
        <v>36</v>
      </c>
    </row>
    <row r="94" spans="1:13" x14ac:dyDescent="0.2">
      <c r="A94">
        <v>90</v>
      </c>
      <c r="B94">
        <f>Calopeia!B91</f>
        <v>50</v>
      </c>
      <c r="C94">
        <f>Sorange!B91</f>
        <v>0</v>
      </c>
      <c r="D94">
        <f>Tyran!B91</f>
        <v>0</v>
      </c>
      <c r="E94">
        <f>Fardo!B91</f>
        <v>0</v>
      </c>
      <c r="F94" s="2">
        <f>Entworpe!B91</f>
        <v>0</v>
      </c>
      <c r="G94">
        <v>820</v>
      </c>
      <c r="H94" s="2">
        <f>Calopeia!F91</f>
        <v>46.092250657496905</v>
      </c>
      <c r="I94" s="2">
        <f>Sorange!E91</f>
        <v>27.728858098423313</v>
      </c>
      <c r="J94" s="2">
        <f>Tyran!D91</f>
        <v>19.409836065573771</v>
      </c>
      <c r="K94" s="2">
        <f>Fardo!D91</f>
        <v>15.704918032786885</v>
      </c>
      <c r="L94" s="2">
        <f>Entworpe!D91</f>
        <v>12.5</v>
      </c>
      <c r="M94">
        <f t="shared" si="3"/>
        <v>50</v>
      </c>
    </row>
    <row r="95" spans="1:13" x14ac:dyDescent="0.2">
      <c r="A95">
        <v>91</v>
      </c>
      <c r="B95">
        <f>Calopeia!B92</f>
        <v>27</v>
      </c>
      <c r="C95">
        <f>Sorange!B92</f>
        <v>0</v>
      </c>
      <c r="D95">
        <f>Tyran!B92</f>
        <v>0</v>
      </c>
      <c r="E95">
        <f>Fardo!B92</f>
        <v>0</v>
      </c>
      <c r="F95" s="2">
        <f>Entworpe!B92</f>
        <v>0</v>
      </c>
      <c r="G95">
        <v>821</v>
      </c>
      <c r="H95" s="2">
        <f>Calopeia!F92</f>
        <v>46.092250657496905</v>
      </c>
      <c r="I95" s="2">
        <f>Sorange!E92</f>
        <v>27.881509794553271</v>
      </c>
      <c r="J95" s="2">
        <f>Tyran!D92</f>
        <v>19.409836065573771</v>
      </c>
      <c r="K95" s="2">
        <f>Fardo!D92</f>
        <v>15.704918032786885</v>
      </c>
      <c r="L95" s="2">
        <f>Entworpe!D92</f>
        <v>12.5</v>
      </c>
      <c r="M95">
        <f t="shared" si="3"/>
        <v>27</v>
      </c>
    </row>
    <row r="96" spans="1:13" x14ac:dyDescent="0.2">
      <c r="A96">
        <v>92</v>
      </c>
      <c r="B96">
        <f>Calopeia!B93</f>
        <v>56</v>
      </c>
      <c r="C96">
        <f>Sorange!B93</f>
        <v>0</v>
      </c>
      <c r="D96">
        <f>Tyran!B93</f>
        <v>0</v>
      </c>
      <c r="E96">
        <f>Fardo!B93</f>
        <v>0</v>
      </c>
      <c r="F96" s="2">
        <f>Entworpe!B93</f>
        <v>0</v>
      </c>
      <c r="G96">
        <v>822</v>
      </c>
      <c r="H96" s="2">
        <f>Calopeia!F93</f>
        <v>46.092250657496905</v>
      </c>
      <c r="I96" s="2">
        <f>Sorange!E93</f>
        <v>28.034161490683228</v>
      </c>
      <c r="J96" s="2">
        <f>Tyran!D93</f>
        <v>19.409836065573771</v>
      </c>
      <c r="K96" s="2">
        <f>Fardo!D93</f>
        <v>15.704918032786885</v>
      </c>
      <c r="L96" s="2">
        <f>Entworpe!D93</f>
        <v>12.5</v>
      </c>
      <c r="M96">
        <f t="shared" si="3"/>
        <v>56</v>
      </c>
    </row>
    <row r="97" spans="1:13" x14ac:dyDescent="0.2">
      <c r="A97">
        <v>93</v>
      </c>
      <c r="B97">
        <f>Calopeia!B94</f>
        <v>43</v>
      </c>
      <c r="C97">
        <f>Sorange!B94</f>
        <v>0</v>
      </c>
      <c r="D97">
        <f>Tyran!B94</f>
        <v>0</v>
      </c>
      <c r="E97">
        <f>Fardo!B94</f>
        <v>0</v>
      </c>
      <c r="F97" s="2">
        <f>Entworpe!B94</f>
        <v>0</v>
      </c>
      <c r="G97">
        <v>823</v>
      </c>
      <c r="H97" s="2">
        <f>Calopeia!F94</f>
        <v>46.092250657496905</v>
      </c>
      <c r="I97" s="2">
        <f>Sorange!E94</f>
        <v>28.186813186813186</v>
      </c>
      <c r="J97" s="2">
        <f>Tyran!D94</f>
        <v>19.409836065573771</v>
      </c>
      <c r="K97" s="2">
        <f>Fardo!D94</f>
        <v>15.704918032786885</v>
      </c>
      <c r="L97" s="2">
        <f>Entworpe!D94</f>
        <v>12.5</v>
      </c>
      <c r="M97">
        <f t="shared" si="3"/>
        <v>43</v>
      </c>
    </row>
    <row r="98" spans="1:13" x14ac:dyDescent="0.2">
      <c r="A98">
        <v>94</v>
      </c>
      <c r="B98">
        <f>Calopeia!B95</f>
        <v>37</v>
      </c>
      <c r="C98">
        <f>Sorange!B95</f>
        <v>0</v>
      </c>
      <c r="D98">
        <f>Tyran!B95</f>
        <v>0</v>
      </c>
      <c r="E98">
        <f>Fardo!B95</f>
        <v>0</v>
      </c>
      <c r="F98" s="2">
        <f>Entworpe!B95</f>
        <v>0</v>
      </c>
      <c r="G98">
        <v>824</v>
      </c>
      <c r="H98" s="2">
        <f>Calopeia!F95</f>
        <v>46.092250657496905</v>
      </c>
      <c r="I98" s="2">
        <f>Sorange!E95</f>
        <v>28.339464882943144</v>
      </c>
      <c r="J98" s="2">
        <f>Tyran!D95</f>
        <v>19.409836065573771</v>
      </c>
      <c r="K98" s="2">
        <f>Fardo!D95</f>
        <v>15.704918032786885</v>
      </c>
      <c r="L98" s="2">
        <f>Entworpe!D95</f>
        <v>12.5</v>
      </c>
      <c r="M98">
        <f t="shared" si="3"/>
        <v>37</v>
      </c>
    </row>
    <row r="99" spans="1:13" x14ac:dyDescent="0.2">
      <c r="A99">
        <v>95</v>
      </c>
      <c r="B99">
        <f>Calopeia!B96</f>
        <v>39</v>
      </c>
      <c r="C99">
        <f>Sorange!B96</f>
        <v>0</v>
      </c>
      <c r="D99">
        <f>Tyran!B96</f>
        <v>0</v>
      </c>
      <c r="E99">
        <f>Fardo!B96</f>
        <v>0</v>
      </c>
      <c r="F99" s="2">
        <f>Entworpe!B96</f>
        <v>0</v>
      </c>
      <c r="G99">
        <v>825</v>
      </c>
      <c r="H99" s="2">
        <f>Calopeia!F96</f>
        <v>46.092250657496905</v>
      </c>
      <c r="I99" s="2">
        <f>Sorange!E96</f>
        <v>28.492116579073098</v>
      </c>
      <c r="J99" s="2">
        <f>Tyran!D96</f>
        <v>19.409836065573771</v>
      </c>
      <c r="K99" s="2">
        <f>Fardo!D96</f>
        <v>15.704918032786885</v>
      </c>
      <c r="L99" s="2">
        <f>Entworpe!D96</f>
        <v>12.5</v>
      </c>
      <c r="M99">
        <f t="shared" si="3"/>
        <v>39</v>
      </c>
    </row>
    <row r="100" spans="1:13" x14ac:dyDescent="0.2">
      <c r="A100">
        <v>96</v>
      </c>
      <c r="B100">
        <f>Calopeia!B97</f>
        <v>56</v>
      </c>
      <c r="C100">
        <f>Sorange!B97</f>
        <v>0</v>
      </c>
      <c r="D100">
        <f>Tyran!B97</f>
        <v>0</v>
      </c>
      <c r="E100">
        <f>Fardo!B97</f>
        <v>0</v>
      </c>
      <c r="F100" s="2">
        <f>Entworpe!B97</f>
        <v>0</v>
      </c>
      <c r="G100">
        <v>826</v>
      </c>
      <c r="H100" s="2">
        <f>Calopeia!F97</f>
        <v>46.092250657496905</v>
      </c>
      <c r="I100" s="2">
        <f>Sorange!E97</f>
        <v>28.644768275203056</v>
      </c>
      <c r="J100" s="2">
        <f>Tyran!D97</f>
        <v>19.409836065573771</v>
      </c>
      <c r="K100" s="2">
        <f>Fardo!D97</f>
        <v>15.704918032786885</v>
      </c>
      <c r="L100" s="2">
        <f>Entworpe!D97</f>
        <v>12.5</v>
      </c>
      <c r="M100">
        <f t="shared" si="3"/>
        <v>56</v>
      </c>
    </row>
    <row r="101" spans="1:13" x14ac:dyDescent="0.2">
      <c r="A101">
        <v>97</v>
      </c>
      <c r="B101">
        <f>Calopeia!B98</f>
        <v>38</v>
      </c>
      <c r="C101">
        <f>Sorange!B98</f>
        <v>0</v>
      </c>
      <c r="D101">
        <f>Tyran!B98</f>
        <v>0</v>
      </c>
      <c r="E101">
        <f>Fardo!B98</f>
        <v>0</v>
      </c>
      <c r="F101" s="2">
        <f>Entworpe!B98</f>
        <v>0</v>
      </c>
      <c r="G101">
        <v>827</v>
      </c>
      <c r="H101" s="2">
        <f>Calopeia!F98</f>
        <v>46.092250657496905</v>
      </c>
      <c r="I101" s="2">
        <f>Sorange!E98</f>
        <v>28.797419971333014</v>
      </c>
      <c r="J101" s="2">
        <f>Tyran!D98</f>
        <v>19.409836065573771</v>
      </c>
      <c r="K101" s="2">
        <f>Fardo!D98</f>
        <v>15.704918032786885</v>
      </c>
      <c r="L101" s="2">
        <f>Entworpe!D98</f>
        <v>12.5</v>
      </c>
      <c r="M101">
        <f t="shared" si="3"/>
        <v>38</v>
      </c>
    </row>
    <row r="102" spans="1:13" x14ac:dyDescent="0.2">
      <c r="A102">
        <v>98</v>
      </c>
      <c r="B102">
        <f>Calopeia!B99</f>
        <v>32</v>
      </c>
      <c r="C102">
        <f>Sorange!B99</f>
        <v>0</v>
      </c>
      <c r="D102">
        <f>Tyran!B99</f>
        <v>0</v>
      </c>
      <c r="E102">
        <f>Fardo!B99</f>
        <v>0</v>
      </c>
      <c r="F102" s="2">
        <f>Entworpe!B99</f>
        <v>0</v>
      </c>
      <c r="G102">
        <v>828</v>
      </c>
      <c r="H102" s="2">
        <f>Calopeia!F99</f>
        <v>46.092250657496905</v>
      </c>
      <c r="I102" s="2">
        <f>Sorange!E99</f>
        <v>28.950071667462971</v>
      </c>
      <c r="J102" s="2">
        <f>Tyran!D99</f>
        <v>19.409836065573771</v>
      </c>
      <c r="K102" s="2">
        <f>Fardo!D99</f>
        <v>15.704918032786885</v>
      </c>
      <c r="L102" s="2">
        <f>Entworpe!D99</f>
        <v>12.5</v>
      </c>
      <c r="M102">
        <f t="shared" si="3"/>
        <v>32</v>
      </c>
    </row>
    <row r="103" spans="1:13" x14ac:dyDescent="0.2">
      <c r="A103">
        <v>99</v>
      </c>
      <c r="B103">
        <f>Calopeia!B100</f>
        <v>34</v>
      </c>
      <c r="C103">
        <f>Sorange!B100</f>
        <v>0</v>
      </c>
      <c r="D103">
        <f>Tyran!B100</f>
        <v>0</v>
      </c>
      <c r="E103">
        <f>Fardo!B100</f>
        <v>0</v>
      </c>
      <c r="F103" s="2">
        <f>Entworpe!B100</f>
        <v>0</v>
      </c>
      <c r="G103">
        <v>829</v>
      </c>
      <c r="H103" s="2">
        <f>Calopeia!F100</f>
        <v>46.092250657496905</v>
      </c>
      <c r="I103" s="2">
        <f>Sorange!E100</f>
        <v>29.102723363592926</v>
      </c>
      <c r="J103" s="2">
        <f>Tyran!D100</f>
        <v>19.409836065573771</v>
      </c>
      <c r="K103" s="2">
        <f>Fardo!D100</f>
        <v>15.704918032786885</v>
      </c>
      <c r="L103" s="2">
        <f>Entworpe!D100</f>
        <v>12.5</v>
      </c>
      <c r="M103">
        <f t="shared" si="3"/>
        <v>34</v>
      </c>
    </row>
    <row r="104" spans="1:13" x14ac:dyDescent="0.2">
      <c r="A104">
        <v>100</v>
      </c>
      <c r="B104">
        <f>Calopeia!B101</f>
        <v>40</v>
      </c>
      <c r="C104">
        <f>Sorange!B101</f>
        <v>0</v>
      </c>
      <c r="D104">
        <f>Tyran!B101</f>
        <v>0</v>
      </c>
      <c r="E104">
        <f>Fardo!B101</f>
        <v>0</v>
      </c>
      <c r="F104" s="2">
        <f>Entworpe!B101</f>
        <v>0</v>
      </c>
      <c r="G104">
        <v>830</v>
      </c>
      <c r="H104" s="2">
        <f>Calopeia!F101</f>
        <v>46.092250657496905</v>
      </c>
      <c r="I104" s="2">
        <f>Sorange!E101</f>
        <v>29.255375059722883</v>
      </c>
      <c r="J104" s="2">
        <f>Tyran!D101</f>
        <v>19.409836065573771</v>
      </c>
      <c r="K104" s="2">
        <f>Fardo!D101</f>
        <v>15.704918032786885</v>
      </c>
      <c r="L104" s="2">
        <f>Entworpe!D101</f>
        <v>12.5</v>
      </c>
      <c r="M104">
        <f t="shared" si="3"/>
        <v>40</v>
      </c>
    </row>
    <row r="105" spans="1:13" x14ac:dyDescent="0.2">
      <c r="A105">
        <v>101</v>
      </c>
      <c r="B105">
        <f>Calopeia!B102</f>
        <v>30</v>
      </c>
      <c r="C105">
        <f>Sorange!B102</f>
        <v>0</v>
      </c>
      <c r="D105">
        <f>Tyran!B102</f>
        <v>0</v>
      </c>
      <c r="E105">
        <f>Fardo!B102</f>
        <v>0</v>
      </c>
      <c r="F105" s="2">
        <f>Entworpe!B102</f>
        <v>0</v>
      </c>
      <c r="G105">
        <v>831</v>
      </c>
      <c r="H105" s="2">
        <f>Calopeia!F102</f>
        <v>46.092250657496905</v>
      </c>
      <c r="I105" s="2">
        <f>Sorange!E102</f>
        <v>29.408026755852841</v>
      </c>
      <c r="J105" s="2">
        <f>Tyran!D102</f>
        <v>19.409836065573771</v>
      </c>
      <c r="K105" s="2">
        <f>Fardo!D102</f>
        <v>15.704918032786885</v>
      </c>
      <c r="L105" s="2">
        <f>Entworpe!D102</f>
        <v>12.5</v>
      </c>
      <c r="M105">
        <f t="shared" si="3"/>
        <v>30</v>
      </c>
    </row>
    <row r="106" spans="1:13" x14ac:dyDescent="0.2">
      <c r="A106">
        <v>102</v>
      </c>
      <c r="B106">
        <f>Calopeia!B103</f>
        <v>42</v>
      </c>
      <c r="C106">
        <f>Sorange!B103</f>
        <v>0</v>
      </c>
      <c r="D106">
        <f>Tyran!B103</f>
        <v>0</v>
      </c>
      <c r="E106">
        <f>Fardo!B103</f>
        <v>0</v>
      </c>
      <c r="F106" s="2">
        <f>Entworpe!B103</f>
        <v>0</v>
      </c>
      <c r="G106">
        <v>832</v>
      </c>
      <c r="H106" s="2">
        <f>Calopeia!F103</f>
        <v>46.092250657496905</v>
      </c>
      <c r="I106" s="2">
        <f>Sorange!E103</f>
        <v>29.560678451982799</v>
      </c>
      <c r="J106" s="2">
        <f>Tyran!D103</f>
        <v>19.409836065573771</v>
      </c>
      <c r="K106" s="2">
        <f>Fardo!D103</f>
        <v>15.704918032786885</v>
      </c>
      <c r="L106" s="2">
        <f>Entworpe!D103</f>
        <v>12.5</v>
      </c>
      <c r="M106">
        <f t="shared" si="3"/>
        <v>42</v>
      </c>
    </row>
    <row r="107" spans="1:13" x14ac:dyDescent="0.2">
      <c r="A107">
        <v>103</v>
      </c>
      <c r="B107">
        <f>Calopeia!B104</f>
        <v>31</v>
      </c>
      <c r="C107">
        <f>Sorange!B104</f>
        <v>0</v>
      </c>
      <c r="D107">
        <f>Tyran!B104</f>
        <v>0</v>
      </c>
      <c r="E107">
        <f>Fardo!B104</f>
        <v>0</v>
      </c>
      <c r="F107" s="2">
        <f>Entworpe!B104</f>
        <v>0</v>
      </c>
      <c r="G107">
        <v>833</v>
      </c>
      <c r="H107" s="2">
        <f>Calopeia!F104</f>
        <v>46.092250657496905</v>
      </c>
      <c r="I107" s="2">
        <f>Sorange!E104</f>
        <v>29.713330148112757</v>
      </c>
      <c r="J107" s="2">
        <f>Tyran!D104</f>
        <v>19.409836065573771</v>
      </c>
      <c r="K107" s="2">
        <f>Fardo!D104</f>
        <v>15.704918032786885</v>
      </c>
      <c r="L107" s="2">
        <f>Entworpe!D104</f>
        <v>12.5</v>
      </c>
      <c r="M107">
        <f t="shared" si="3"/>
        <v>31</v>
      </c>
    </row>
    <row r="108" spans="1:13" x14ac:dyDescent="0.2">
      <c r="A108">
        <v>104</v>
      </c>
      <c r="B108">
        <f>Calopeia!B105</f>
        <v>56</v>
      </c>
      <c r="C108">
        <f>Sorange!B105</f>
        <v>0</v>
      </c>
      <c r="D108">
        <f>Tyran!B105</f>
        <v>0</v>
      </c>
      <c r="E108">
        <f>Fardo!B105</f>
        <v>0</v>
      </c>
      <c r="F108" s="2">
        <f>Entworpe!B105</f>
        <v>0</v>
      </c>
      <c r="G108">
        <v>834</v>
      </c>
      <c r="H108" s="2">
        <f>Calopeia!F105</f>
        <v>46.092250657496905</v>
      </c>
      <c r="I108" s="2">
        <f>Sorange!E105</f>
        <v>29.865981844242711</v>
      </c>
      <c r="J108" s="2">
        <f>Tyran!D105</f>
        <v>19.409836065573771</v>
      </c>
      <c r="K108" s="2">
        <f>Fardo!D105</f>
        <v>15.704918032786885</v>
      </c>
      <c r="L108" s="2">
        <f>Entworpe!D105</f>
        <v>12.5</v>
      </c>
      <c r="M108">
        <f t="shared" si="3"/>
        <v>56</v>
      </c>
    </row>
    <row r="109" spans="1:13" x14ac:dyDescent="0.2">
      <c r="A109">
        <v>105</v>
      </c>
      <c r="B109">
        <f>Calopeia!B106</f>
        <v>26</v>
      </c>
      <c r="C109">
        <f>Sorange!B106</f>
        <v>0</v>
      </c>
      <c r="D109">
        <f>Tyran!B106</f>
        <v>0</v>
      </c>
      <c r="E109">
        <f>Fardo!B106</f>
        <v>0</v>
      </c>
      <c r="F109" s="2">
        <f>Entworpe!B106</f>
        <v>0</v>
      </c>
      <c r="G109">
        <v>835</v>
      </c>
      <c r="H109" s="2">
        <f>Calopeia!F106</f>
        <v>46.092250657496905</v>
      </c>
      <c r="I109" s="2">
        <f>Sorange!E106</f>
        <v>30.018633540372669</v>
      </c>
      <c r="J109" s="2">
        <f>Tyran!D106</f>
        <v>19.409836065573771</v>
      </c>
      <c r="K109" s="2">
        <f>Fardo!D106</f>
        <v>15.704918032786885</v>
      </c>
      <c r="L109" s="2">
        <f>Entworpe!D106</f>
        <v>12.5</v>
      </c>
      <c r="M109">
        <f t="shared" si="3"/>
        <v>26</v>
      </c>
    </row>
    <row r="110" spans="1:13" x14ac:dyDescent="0.2">
      <c r="A110">
        <v>106</v>
      </c>
      <c r="B110">
        <f>Calopeia!B107</f>
        <v>42</v>
      </c>
      <c r="C110">
        <f>Sorange!B107</f>
        <v>0</v>
      </c>
      <c r="D110">
        <f>Tyran!B107</f>
        <v>0</v>
      </c>
      <c r="E110">
        <f>Fardo!B107</f>
        <v>0</v>
      </c>
      <c r="F110" s="2">
        <f>Entworpe!B107</f>
        <v>0</v>
      </c>
      <c r="G110">
        <v>836</v>
      </c>
      <c r="H110" s="2">
        <f>Calopeia!F107</f>
        <v>46.092250657496905</v>
      </c>
      <c r="I110" s="2">
        <f>Sorange!E107</f>
        <v>30.171285236502627</v>
      </c>
      <c r="J110" s="2">
        <f>Tyran!D107</f>
        <v>19.409836065573771</v>
      </c>
      <c r="K110" s="2">
        <f>Fardo!D107</f>
        <v>15.704918032786885</v>
      </c>
      <c r="L110" s="2">
        <f>Entworpe!D107</f>
        <v>12.5</v>
      </c>
      <c r="M110">
        <f t="shared" si="3"/>
        <v>42</v>
      </c>
    </row>
    <row r="111" spans="1:13" x14ac:dyDescent="0.2">
      <c r="A111">
        <v>107</v>
      </c>
      <c r="B111">
        <f>Calopeia!B108</f>
        <v>59</v>
      </c>
      <c r="C111">
        <f>Sorange!B108</f>
        <v>0</v>
      </c>
      <c r="D111">
        <f>Tyran!B108</f>
        <v>0</v>
      </c>
      <c r="E111">
        <f>Fardo!B108</f>
        <v>0</v>
      </c>
      <c r="F111" s="2">
        <f>Entworpe!B108</f>
        <v>0</v>
      </c>
      <c r="G111">
        <v>837</v>
      </c>
      <c r="H111" s="2">
        <f>Calopeia!F108</f>
        <v>46.092250657496905</v>
      </c>
      <c r="I111" s="2">
        <f>Sorange!E108</f>
        <v>30.323936932632584</v>
      </c>
      <c r="J111" s="2">
        <f>Tyran!D108</f>
        <v>19.409836065573771</v>
      </c>
      <c r="K111" s="2">
        <f>Fardo!D108</f>
        <v>15.704918032786885</v>
      </c>
      <c r="L111" s="2">
        <f>Entworpe!D108</f>
        <v>12.5</v>
      </c>
      <c r="M111">
        <f t="shared" si="3"/>
        <v>59</v>
      </c>
    </row>
    <row r="112" spans="1:13" x14ac:dyDescent="0.2">
      <c r="A112">
        <v>108</v>
      </c>
      <c r="B112">
        <f>Calopeia!B109</f>
        <v>37</v>
      </c>
      <c r="C112">
        <f>Sorange!B109</f>
        <v>0</v>
      </c>
      <c r="D112">
        <f>Tyran!B109</f>
        <v>0</v>
      </c>
      <c r="E112">
        <f>Fardo!B109</f>
        <v>0</v>
      </c>
      <c r="F112" s="2">
        <f>Entworpe!B109</f>
        <v>0</v>
      </c>
      <c r="G112">
        <v>838</v>
      </c>
      <c r="H112" s="2">
        <f>Calopeia!F109</f>
        <v>46.092250657496905</v>
      </c>
      <c r="I112" s="2">
        <f>Sorange!E109</f>
        <v>30.476588628762538</v>
      </c>
      <c r="J112" s="2">
        <f>Tyran!D109</f>
        <v>19.409836065573771</v>
      </c>
      <c r="K112" s="2">
        <f>Fardo!D109</f>
        <v>15.704918032786885</v>
      </c>
      <c r="L112" s="2">
        <f>Entworpe!D109</f>
        <v>12.5</v>
      </c>
      <c r="M112">
        <f t="shared" si="3"/>
        <v>37</v>
      </c>
    </row>
    <row r="113" spans="1:13" x14ac:dyDescent="0.2">
      <c r="A113">
        <v>109</v>
      </c>
      <c r="B113">
        <f>Calopeia!B110</f>
        <v>50</v>
      </c>
      <c r="C113">
        <f>Sorange!B110</f>
        <v>0</v>
      </c>
      <c r="D113">
        <f>Tyran!B110</f>
        <v>0</v>
      </c>
      <c r="E113">
        <f>Fardo!B110</f>
        <v>0</v>
      </c>
      <c r="F113" s="2">
        <f>Entworpe!B110</f>
        <v>0</v>
      </c>
      <c r="G113">
        <v>839</v>
      </c>
      <c r="H113" s="2">
        <f>Calopeia!F110</f>
        <v>46.092250657496905</v>
      </c>
      <c r="I113" s="2">
        <f>Sorange!E110</f>
        <v>30.629240324892496</v>
      </c>
      <c r="J113" s="2">
        <f>Tyran!D110</f>
        <v>19.409836065573771</v>
      </c>
      <c r="K113" s="2">
        <f>Fardo!D110</f>
        <v>15.704918032786885</v>
      </c>
      <c r="L113" s="2">
        <f>Entworpe!D110</f>
        <v>12.5</v>
      </c>
      <c r="M113">
        <f t="shared" si="3"/>
        <v>50</v>
      </c>
    </row>
    <row r="114" spans="1:13" x14ac:dyDescent="0.2">
      <c r="A114">
        <v>110</v>
      </c>
      <c r="B114">
        <f>Calopeia!B111</f>
        <v>51</v>
      </c>
      <c r="C114">
        <f>Sorange!B111</f>
        <v>0</v>
      </c>
      <c r="D114">
        <f>Tyran!B111</f>
        <v>0</v>
      </c>
      <c r="E114">
        <f>Fardo!B111</f>
        <v>0</v>
      </c>
      <c r="F114" s="2">
        <f>Entworpe!B111</f>
        <v>0</v>
      </c>
      <c r="G114">
        <v>840</v>
      </c>
      <c r="H114" s="2">
        <f>Calopeia!F111</f>
        <v>46.092250657496905</v>
      </c>
      <c r="I114" s="2">
        <f>Sorange!E111</f>
        <v>30.781892021022454</v>
      </c>
      <c r="J114" s="2">
        <f>Tyran!D111</f>
        <v>19.409836065573771</v>
      </c>
      <c r="K114" s="2">
        <f>Fardo!D111</f>
        <v>15.704918032786885</v>
      </c>
      <c r="L114" s="2">
        <f>Entworpe!D111</f>
        <v>12.5</v>
      </c>
      <c r="M114">
        <f t="shared" si="3"/>
        <v>51</v>
      </c>
    </row>
    <row r="115" spans="1:13" x14ac:dyDescent="0.2">
      <c r="A115">
        <v>111</v>
      </c>
      <c r="B115">
        <f>Calopeia!B112</f>
        <v>63</v>
      </c>
      <c r="C115">
        <f>Sorange!B112</f>
        <v>0</v>
      </c>
      <c r="D115">
        <f>Tyran!B112</f>
        <v>0</v>
      </c>
      <c r="E115">
        <f>Fardo!B112</f>
        <v>0</v>
      </c>
      <c r="F115" s="2">
        <f>Entworpe!B112</f>
        <v>0</v>
      </c>
      <c r="G115">
        <v>841</v>
      </c>
      <c r="H115" s="2">
        <f>Calopeia!F112</f>
        <v>46.092250657496905</v>
      </c>
      <c r="I115" s="2">
        <f>Sorange!E112</f>
        <v>30.934543717152412</v>
      </c>
      <c r="J115" s="2">
        <f>Tyran!D112</f>
        <v>19.409836065573771</v>
      </c>
      <c r="K115" s="2">
        <f>Fardo!D112</f>
        <v>15.704918032786885</v>
      </c>
      <c r="L115" s="2">
        <f>Entworpe!D112</f>
        <v>12.5</v>
      </c>
      <c r="M115">
        <f t="shared" si="3"/>
        <v>63</v>
      </c>
    </row>
    <row r="116" spans="1:13" x14ac:dyDescent="0.2">
      <c r="A116">
        <v>112</v>
      </c>
      <c r="B116">
        <f>Calopeia!B113</f>
        <v>53</v>
      </c>
      <c r="C116">
        <f>Sorange!B113</f>
        <v>0</v>
      </c>
      <c r="D116">
        <f>Tyran!B113</f>
        <v>0</v>
      </c>
      <c r="E116">
        <f>Fardo!B113</f>
        <v>0</v>
      </c>
      <c r="F116" s="2">
        <f>Entworpe!B113</f>
        <v>0</v>
      </c>
      <c r="G116">
        <v>842</v>
      </c>
      <c r="H116" s="2">
        <f>Calopeia!F113</f>
        <v>46.092250657496905</v>
      </c>
      <c r="I116" s="2">
        <f>Sorange!E113</f>
        <v>31.08719541328237</v>
      </c>
      <c r="J116" s="2">
        <f>Tyran!D113</f>
        <v>19.409836065573771</v>
      </c>
      <c r="K116" s="2">
        <f>Fardo!D113</f>
        <v>15.704918032786885</v>
      </c>
      <c r="L116" s="2">
        <f>Entworpe!D113</f>
        <v>12.5</v>
      </c>
      <c r="M116">
        <f t="shared" si="3"/>
        <v>53</v>
      </c>
    </row>
    <row r="117" spans="1:13" x14ac:dyDescent="0.2">
      <c r="A117">
        <v>113</v>
      </c>
      <c r="B117">
        <f>Calopeia!B114</f>
        <v>24</v>
      </c>
      <c r="C117">
        <f>Sorange!B114</f>
        <v>0</v>
      </c>
      <c r="D117">
        <f>Tyran!B114</f>
        <v>0</v>
      </c>
      <c r="E117">
        <f>Fardo!B114</f>
        <v>0</v>
      </c>
      <c r="F117" s="2">
        <f>Entworpe!B114</f>
        <v>0</v>
      </c>
      <c r="G117">
        <v>843</v>
      </c>
      <c r="H117" s="2">
        <f>Calopeia!F114</f>
        <v>46.092250657496905</v>
      </c>
      <c r="I117" s="2">
        <f>Sorange!E114</f>
        <v>31.239847109412324</v>
      </c>
      <c r="J117" s="2">
        <f>Tyran!D114</f>
        <v>19.409836065573771</v>
      </c>
      <c r="K117" s="2">
        <f>Fardo!D114</f>
        <v>15.704918032786885</v>
      </c>
      <c r="L117" s="2">
        <f>Entworpe!D114</f>
        <v>12.5</v>
      </c>
      <c r="M117">
        <f t="shared" si="3"/>
        <v>24</v>
      </c>
    </row>
    <row r="118" spans="1:13" x14ac:dyDescent="0.2">
      <c r="A118">
        <v>114</v>
      </c>
      <c r="B118">
        <f>Calopeia!B115</f>
        <v>61</v>
      </c>
      <c r="C118">
        <f>Sorange!B115</f>
        <v>0</v>
      </c>
      <c r="D118">
        <f>Tyran!B115</f>
        <v>0</v>
      </c>
      <c r="E118">
        <f>Fardo!B115</f>
        <v>0</v>
      </c>
      <c r="F118" s="2">
        <f>Entworpe!B115</f>
        <v>0</v>
      </c>
      <c r="G118">
        <v>844</v>
      </c>
      <c r="H118" s="2">
        <f>Calopeia!F115</f>
        <v>46.092250657496905</v>
      </c>
      <c r="I118" s="2">
        <f>Sorange!E115</f>
        <v>31.392498805542282</v>
      </c>
      <c r="J118" s="2">
        <f>Tyran!D115</f>
        <v>19.409836065573771</v>
      </c>
      <c r="K118" s="2">
        <f>Fardo!D115</f>
        <v>15.704918032786885</v>
      </c>
      <c r="L118" s="2">
        <f>Entworpe!D115</f>
        <v>12.5</v>
      </c>
      <c r="M118">
        <f t="shared" si="3"/>
        <v>61</v>
      </c>
    </row>
    <row r="119" spans="1:13" x14ac:dyDescent="0.2">
      <c r="A119">
        <v>115</v>
      </c>
      <c r="B119">
        <f>Calopeia!B116</f>
        <v>44</v>
      </c>
      <c r="C119">
        <f>Sorange!B116</f>
        <v>0</v>
      </c>
      <c r="D119">
        <f>Tyran!B116</f>
        <v>0</v>
      </c>
      <c r="E119">
        <f>Fardo!B116</f>
        <v>0</v>
      </c>
      <c r="F119" s="2">
        <f>Entworpe!B116</f>
        <v>0</v>
      </c>
      <c r="G119">
        <v>845</v>
      </c>
      <c r="H119" s="2">
        <f>Calopeia!F116</f>
        <v>46.092250657496905</v>
      </c>
      <c r="I119" s="2">
        <f>Sorange!E116</f>
        <v>31.545150501672239</v>
      </c>
      <c r="J119" s="2">
        <f>Tyran!D116</f>
        <v>19.409836065573771</v>
      </c>
      <c r="K119" s="2">
        <f>Fardo!D116</f>
        <v>15.704918032786885</v>
      </c>
      <c r="L119" s="2">
        <f>Entworpe!D116</f>
        <v>12.5</v>
      </c>
      <c r="M119">
        <f t="shared" si="3"/>
        <v>44</v>
      </c>
    </row>
    <row r="120" spans="1:13" x14ac:dyDescent="0.2">
      <c r="A120">
        <v>116</v>
      </c>
      <c r="B120">
        <f>Calopeia!B117</f>
        <v>58</v>
      </c>
      <c r="C120">
        <f>Sorange!B117</f>
        <v>0</v>
      </c>
      <c r="D120">
        <f>Tyran!B117</f>
        <v>0</v>
      </c>
      <c r="E120">
        <f>Fardo!B117</f>
        <v>0</v>
      </c>
      <c r="F120" s="2">
        <f>Entworpe!B117</f>
        <v>0</v>
      </c>
      <c r="G120">
        <v>846</v>
      </c>
      <c r="H120" s="2">
        <f>Calopeia!F117</f>
        <v>46.092250657496905</v>
      </c>
      <c r="I120" s="2">
        <f>Sorange!E117</f>
        <v>31.697802197802197</v>
      </c>
      <c r="J120" s="2">
        <f>Tyran!D117</f>
        <v>19.409836065573771</v>
      </c>
      <c r="K120" s="2">
        <f>Fardo!D117</f>
        <v>15.704918032786885</v>
      </c>
      <c r="L120" s="2">
        <f>Entworpe!D117</f>
        <v>12.5</v>
      </c>
      <c r="M120">
        <f t="shared" si="3"/>
        <v>58</v>
      </c>
    </row>
    <row r="121" spans="1:13" x14ac:dyDescent="0.2">
      <c r="A121">
        <v>117</v>
      </c>
      <c r="B121">
        <f>Calopeia!B118</f>
        <v>103</v>
      </c>
      <c r="C121">
        <f>Sorange!B118</f>
        <v>0</v>
      </c>
      <c r="D121">
        <f>Tyran!B118</f>
        <v>0</v>
      </c>
      <c r="E121">
        <f>Fardo!B118</f>
        <v>0</v>
      </c>
      <c r="F121" s="2">
        <f>Entworpe!B118</f>
        <v>0</v>
      </c>
      <c r="G121">
        <v>847</v>
      </c>
      <c r="H121" s="2">
        <f>Calopeia!F118</f>
        <v>46.092250657496905</v>
      </c>
      <c r="I121" s="2">
        <f>Sorange!E118</f>
        <v>31.850453893932151</v>
      </c>
      <c r="J121" s="2">
        <f>Tyran!D118</f>
        <v>19.409836065573771</v>
      </c>
      <c r="K121" s="2">
        <f>Fardo!D118</f>
        <v>15.704918032786885</v>
      </c>
      <c r="L121" s="2">
        <f>Entworpe!D118</f>
        <v>12.5</v>
      </c>
      <c r="M121">
        <f t="shared" si="3"/>
        <v>103</v>
      </c>
    </row>
    <row r="122" spans="1:13" x14ac:dyDescent="0.2">
      <c r="A122">
        <v>118</v>
      </c>
      <c r="B122">
        <f>Calopeia!B119</f>
        <v>22</v>
      </c>
      <c r="C122">
        <f>Sorange!B119</f>
        <v>0</v>
      </c>
      <c r="D122">
        <f>Tyran!B119</f>
        <v>0</v>
      </c>
      <c r="E122">
        <f>Fardo!B119</f>
        <v>0</v>
      </c>
      <c r="F122" s="2">
        <f>Entworpe!B119</f>
        <v>0</v>
      </c>
      <c r="G122">
        <v>848</v>
      </c>
      <c r="H122" s="2">
        <f>Calopeia!F119</f>
        <v>46.092250657496905</v>
      </c>
      <c r="I122" s="2">
        <f>Sorange!E119</f>
        <v>32.003105590062106</v>
      </c>
      <c r="J122" s="2">
        <f>Tyran!D119</f>
        <v>19.409836065573771</v>
      </c>
      <c r="K122" s="2">
        <f>Fardo!D119</f>
        <v>15.704918032786885</v>
      </c>
      <c r="L122" s="2">
        <f>Entworpe!D119</f>
        <v>12.5</v>
      </c>
      <c r="M122">
        <f t="shared" si="3"/>
        <v>22</v>
      </c>
    </row>
    <row r="123" spans="1:13" x14ac:dyDescent="0.2">
      <c r="A123">
        <v>119</v>
      </c>
      <c r="B123">
        <f>Calopeia!B120</f>
        <v>52</v>
      </c>
      <c r="C123">
        <f>Sorange!B120</f>
        <v>0</v>
      </c>
      <c r="D123">
        <f>Tyran!B120</f>
        <v>0</v>
      </c>
      <c r="E123">
        <f>Fardo!B120</f>
        <v>0</v>
      </c>
      <c r="F123" s="2">
        <f>Entworpe!B120</f>
        <v>0</v>
      </c>
      <c r="G123">
        <v>849</v>
      </c>
      <c r="H123" s="2">
        <f>Calopeia!F120</f>
        <v>46.092250657496905</v>
      </c>
      <c r="I123" s="2">
        <f>Sorange!E120</f>
        <v>32.15575728619207</v>
      </c>
      <c r="J123" s="2">
        <f>Tyran!D120</f>
        <v>19.409836065573771</v>
      </c>
      <c r="K123" s="2">
        <f>Fardo!D120</f>
        <v>15.704918032786885</v>
      </c>
      <c r="L123" s="2">
        <f>Entworpe!D120</f>
        <v>12.5</v>
      </c>
      <c r="M123">
        <f t="shared" si="3"/>
        <v>52</v>
      </c>
    </row>
    <row r="124" spans="1:13" x14ac:dyDescent="0.2">
      <c r="A124">
        <v>120</v>
      </c>
      <c r="B124">
        <f>Calopeia!B121</f>
        <v>64</v>
      </c>
      <c r="C124">
        <f>Sorange!B121</f>
        <v>0</v>
      </c>
      <c r="D124">
        <f>Tyran!B121</f>
        <v>0</v>
      </c>
      <c r="E124">
        <f>Fardo!B121</f>
        <v>0</v>
      </c>
      <c r="F124" s="2">
        <f>Entworpe!B121</f>
        <v>0</v>
      </c>
      <c r="G124">
        <v>850</v>
      </c>
      <c r="H124" s="2">
        <f>Calopeia!F121</f>
        <v>46.092250657496905</v>
      </c>
      <c r="I124" s="2">
        <f>Sorange!E121</f>
        <v>32.308408982322021</v>
      </c>
      <c r="J124" s="2">
        <f>Tyran!D121</f>
        <v>19.409836065573771</v>
      </c>
      <c r="K124" s="2">
        <f>Fardo!D121</f>
        <v>15.704918032786885</v>
      </c>
      <c r="L124" s="2">
        <f>Entworpe!D121</f>
        <v>12.5</v>
      </c>
      <c r="M124">
        <f t="shared" si="3"/>
        <v>64</v>
      </c>
    </row>
    <row r="125" spans="1:13" x14ac:dyDescent="0.2">
      <c r="A125">
        <v>121</v>
      </c>
      <c r="B125">
        <f>Calopeia!B122</f>
        <v>55</v>
      </c>
      <c r="C125">
        <f>Sorange!B122</f>
        <v>0</v>
      </c>
      <c r="D125">
        <f>Tyran!B122</f>
        <v>0</v>
      </c>
      <c r="E125">
        <f>Fardo!B122</f>
        <v>0</v>
      </c>
      <c r="F125" s="2">
        <f>Entworpe!B122</f>
        <v>0</v>
      </c>
      <c r="G125">
        <v>851</v>
      </c>
      <c r="H125" s="2">
        <f>Calopeia!F122</f>
        <v>46.092250657496905</v>
      </c>
      <c r="I125" s="2">
        <f>Sorange!E122</f>
        <v>32.461060678451986</v>
      </c>
      <c r="J125" s="2">
        <f>Tyran!D122</f>
        <v>19.409836065573771</v>
      </c>
      <c r="K125" s="2">
        <f>Fardo!D122</f>
        <v>15.704918032786885</v>
      </c>
      <c r="L125" s="2">
        <f>Entworpe!D122</f>
        <v>12.5</v>
      </c>
      <c r="M125">
        <f t="shared" si="3"/>
        <v>55</v>
      </c>
    </row>
    <row r="126" spans="1:13" x14ac:dyDescent="0.2">
      <c r="A126">
        <v>122</v>
      </c>
      <c r="B126">
        <f>Calopeia!B123</f>
        <v>60</v>
      </c>
      <c r="C126">
        <f>Sorange!B123</f>
        <v>0</v>
      </c>
      <c r="D126">
        <f>Tyran!B123</f>
        <v>0</v>
      </c>
      <c r="E126">
        <f>Fardo!B123</f>
        <v>0</v>
      </c>
      <c r="F126" s="2">
        <f>Entworpe!B123</f>
        <v>0</v>
      </c>
      <c r="G126">
        <v>852</v>
      </c>
      <c r="H126" s="2">
        <f>Calopeia!F123</f>
        <v>46.092250657496905</v>
      </c>
      <c r="I126" s="2">
        <f>Sorange!E123</f>
        <v>32.613712374581937</v>
      </c>
      <c r="J126" s="2">
        <f>Tyran!D123</f>
        <v>19.409836065573771</v>
      </c>
      <c r="K126" s="2">
        <f>Fardo!D123</f>
        <v>15.704918032786885</v>
      </c>
      <c r="L126" s="2">
        <f>Entworpe!D123</f>
        <v>12.5</v>
      </c>
      <c r="M126">
        <f t="shared" si="3"/>
        <v>60</v>
      </c>
    </row>
    <row r="127" spans="1:13" x14ac:dyDescent="0.2">
      <c r="A127">
        <v>123</v>
      </c>
      <c r="B127">
        <f>Calopeia!B124</f>
        <v>53</v>
      </c>
      <c r="C127">
        <f>Sorange!B124</f>
        <v>0</v>
      </c>
      <c r="D127">
        <f>Tyran!B124</f>
        <v>0</v>
      </c>
      <c r="E127">
        <f>Fardo!B124</f>
        <v>0</v>
      </c>
      <c r="F127" s="2">
        <f>Entworpe!B124</f>
        <v>0</v>
      </c>
      <c r="G127">
        <v>853</v>
      </c>
      <c r="H127" s="2">
        <f>Calopeia!F124</f>
        <v>46.092250657496905</v>
      </c>
      <c r="I127" s="2">
        <f>Sorange!E124</f>
        <v>32.766364070711901</v>
      </c>
      <c r="J127" s="2">
        <f>Tyran!D124</f>
        <v>19.409836065573771</v>
      </c>
      <c r="K127" s="2">
        <f>Fardo!D124</f>
        <v>15.704918032786885</v>
      </c>
      <c r="L127" s="2">
        <f>Entworpe!D124</f>
        <v>12.5</v>
      </c>
      <c r="M127">
        <f t="shared" si="3"/>
        <v>53</v>
      </c>
    </row>
    <row r="128" spans="1:13" x14ac:dyDescent="0.2">
      <c r="A128">
        <v>124</v>
      </c>
      <c r="B128">
        <f>Calopeia!B125</f>
        <v>58</v>
      </c>
      <c r="C128">
        <f>Sorange!B125</f>
        <v>0</v>
      </c>
      <c r="D128">
        <f>Tyran!B125</f>
        <v>0</v>
      </c>
      <c r="E128">
        <f>Fardo!B125</f>
        <v>0</v>
      </c>
      <c r="F128" s="2">
        <f>Entworpe!B125</f>
        <v>0</v>
      </c>
      <c r="G128">
        <v>854</v>
      </c>
      <c r="H128" s="2">
        <f>Calopeia!F125</f>
        <v>46.092250657496905</v>
      </c>
      <c r="I128" s="2">
        <f>Sorange!E125</f>
        <v>32.919015766841852</v>
      </c>
      <c r="J128" s="2">
        <f>Tyran!D125</f>
        <v>19.409836065573771</v>
      </c>
      <c r="K128" s="2">
        <f>Fardo!D125</f>
        <v>15.704918032786885</v>
      </c>
      <c r="L128" s="2">
        <f>Entworpe!D125</f>
        <v>12.5</v>
      </c>
      <c r="M128">
        <f t="shared" si="3"/>
        <v>58</v>
      </c>
    </row>
    <row r="129" spans="1:13" x14ac:dyDescent="0.2">
      <c r="A129">
        <v>125</v>
      </c>
      <c r="B129">
        <f>Calopeia!B126</f>
        <v>30</v>
      </c>
      <c r="C129">
        <f>Sorange!B126</f>
        <v>0</v>
      </c>
      <c r="D129">
        <f>Tyran!B126</f>
        <v>0</v>
      </c>
      <c r="E129">
        <f>Fardo!B126</f>
        <v>0</v>
      </c>
      <c r="F129" s="2">
        <f>Entworpe!B126</f>
        <v>0</v>
      </c>
      <c r="G129">
        <v>855</v>
      </c>
      <c r="H129" s="2">
        <f>Calopeia!F126</f>
        <v>46.092250657496905</v>
      </c>
      <c r="I129" s="2">
        <f>Sorange!E126</f>
        <v>33.071667462971803</v>
      </c>
      <c r="J129" s="2">
        <f>Tyran!D126</f>
        <v>19.409836065573771</v>
      </c>
      <c r="K129" s="2">
        <f>Fardo!D126</f>
        <v>15.704918032786885</v>
      </c>
      <c r="L129" s="2">
        <f>Entworpe!D126</f>
        <v>12.5</v>
      </c>
      <c r="M129">
        <f t="shared" si="3"/>
        <v>30</v>
      </c>
    </row>
    <row r="130" spans="1:13" x14ac:dyDescent="0.2">
      <c r="A130">
        <v>126</v>
      </c>
      <c r="B130">
        <f>Calopeia!B127</f>
        <v>72</v>
      </c>
      <c r="C130">
        <f>Sorange!B127</f>
        <v>0</v>
      </c>
      <c r="D130">
        <f>Tyran!B127</f>
        <v>0</v>
      </c>
      <c r="E130">
        <f>Fardo!B127</f>
        <v>0</v>
      </c>
      <c r="F130" s="2">
        <f>Entworpe!B127</f>
        <v>0</v>
      </c>
      <c r="G130">
        <v>856</v>
      </c>
      <c r="H130" s="2">
        <f>Calopeia!F127</f>
        <v>46.092250657496905</v>
      </c>
      <c r="I130" s="2">
        <f>Sorange!E127</f>
        <v>33.224319159101768</v>
      </c>
      <c r="J130" s="2">
        <f>Tyran!D127</f>
        <v>19.409836065573771</v>
      </c>
      <c r="K130" s="2">
        <f>Fardo!D127</f>
        <v>15.704918032786885</v>
      </c>
      <c r="L130" s="2">
        <f>Entworpe!D127</f>
        <v>12.5</v>
      </c>
      <c r="M130">
        <f t="shared" si="3"/>
        <v>72</v>
      </c>
    </row>
    <row r="131" spans="1:13" x14ac:dyDescent="0.2">
      <c r="A131">
        <v>127</v>
      </c>
      <c r="B131">
        <f>Calopeia!B128</f>
        <v>53</v>
      </c>
      <c r="C131">
        <f>Sorange!B128</f>
        <v>0</v>
      </c>
      <c r="D131">
        <f>Tyran!B128</f>
        <v>0</v>
      </c>
      <c r="E131">
        <f>Fardo!B128</f>
        <v>0</v>
      </c>
      <c r="F131" s="2">
        <f>Entworpe!B128</f>
        <v>0</v>
      </c>
      <c r="G131">
        <v>857</v>
      </c>
      <c r="H131" s="2">
        <f>Calopeia!F128</f>
        <v>46.092250657496905</v>
      </c>
      <c r="I131" s="2">
        <f>Sorange!E128</f>
        <v>33.376970855231718</v>
      </c>
      <c r="J131" s="2">
        <f>Tyran!D128</f>
        <v>19.409836065573771</v>
      </c>
      <c r="K131" s="2">
        <f>Fardo!D128</f>
        <v>15.704918032786885</v>
      </c>
      <c r="L131" s="2">
        <f>Entworpe!D128</f>
        <v>12.5</v>
      </c>
      <c r="M131">
        <f t="shared" si="3"/>
        <v>53</v>
      </c>
    </row>
    <row r="132" spans="1:13" x14ac:dyDescent="0.2">
      <c r="A132">
        <v>128</v>
      </c>
      <c r="B132">
        <f>Calopeia!B129</f>
        <v>78</v>
      </c>
      <c r="C132">
        <f>Sorange!B129</f>
        <v>0</v>
      </c>
      <c r="D132">
        <f>Tyran!B129</f>
        <v>0</v>
      </c>
      <c r="E132">
        <f>Fardo!B129</f>
        <v>0</v>
      </c>
      <c r="F132" s="2">
        <f>Entworpe!B129</f>
        <v>0</v>
      </c>
      <c r="G132">
        <v>858</v>
      </c>
      <c r="H132" s="2">
        <f>Calopeia!F129</f>
        <v>46.092250657496905</v>
      </c>
      <c r="I132" s="2">
        <f>Sorange!E129</f>
        <v>33.529622551361683</v>
      </c>
      <c r="J132" s="2">
        <f>Tyran!D129</f>
        <v>19.409836065573771</v>
      </c>
      <c r="K132" s="2">
        <f>Fardo!D129</f>
        <v>15.704918032786885</v>
      </c>
      <c r="L132" s="2">
        <f>Entworpe!D129</f>
        <v>12.5</v>
      </c>
      <c r="M132">
        <f t="shared" si="3"/>
        <v>78</v>
      </c>
    </row>
    <row r="133" spans="1:13" x14ac:dyDescent="0.2">
      <c r="A133">
        <v>129</v>
      </c>
      <c r="B133">
        <f>Calopeia!B130</f>
        <v>64</v>
      </c>
      <c r="C133">
        <f>Sorange!B130</f>
        <v>0</v>
      </c>
      <c r="D133">
        <f>Tyran!B130</f>
        <v>0</v>
      </c>
      <c r="E133">
        <f>Fardo!B130</f>
        <v>0</v>
      </c>
      <c r="F133" s="2">
        <f>Entworpe!B130</f>
        <v>0</v>
      </c>
      <c r="G133">
        <v>859</v>
      </c>
      <c r="H133" s="2">
        <f>Calopeia!F130</f>
        <v>46.092250657496905</v>
      </c>
      <c r="I133" s="2">
        <f>Sorange!E130</f>
        <v>33.682274247491634</v>
      </c>
      <c r="J133" s="2">
        <f>Tyran!D130</f>
        <v>19.409836065573771</v>
      </c>
      <c r="K133" s="2">
        <f>Fardo!D130</f>
        <v>15.704918032786885</v>
      </c>
      <c r="L133" s="2">
        <f>Entworpe!D130</f>
        <v>12.5</v>
      </c>
      <c r="M133">
        <f t="shared" si="3"/>
        <v>64</v>
      </c>
    </row>
    <row r="134" spans="1:13" x14ac:dyDescent="0.2">
      <c r="A134">
        <v>130</v>
      </c>
      <c r="B134">
        <f>Calopeia!B131</f>
        <v>62</v>
      </c>
      <c r="C134">
        <f>Sorange!B131</f>
        <v>0</v>
      </c>
      <c r="D134">
        <f>Tyran!B131</f>
        <v>0</v>
      </c>
      <c r="E134">
        <f>Fardo!B131</f>
        <v>0</v>
      </c>
      <c r="F134" s="2">
        <f>Entworpe!B131</f>
        <v>0</v>
      </c>
      <c r="G134">
        <v>860</v>
      </c>
      <c r="H134" s="2">
        <f>Calopeia!F131</f>
        <v>46.092250657496905</v>
      </c>
      <c r="I134" s="2">
        <f>Sorange!E131</f>
        <v>33.834925943621599</v>
      </c>
      <c r="J134" s="2">
        <f>Tyran!D131</f>
        <v>19.409836065573771</v>
      </c>
      <c r="K134" s="2">
        <f>Fardo!D131</f>
        <v>15.704918032786885</v>
      </c>
      <c r="L134" s="2">
        <f>Entworpe!D131</f>
        <v>12.5</v>
      </c>
      <c r="M134">
        <f t="shared" ref="M134:M197" si="4">B134+F134</f>
        <v>62</v>
      </c>
    </row>
    <row r="135" spans="1:13" x14ac:dyDescent="0.2">
      <c r="A135">
        <v>131</v>
      </c>
      <c r="B135">
        <f>Calopeia!B132</f>
        <v>75</v>
      </c>
      <c r="C135">
        <f>Sorange!B132</f>
        <v>0</v>
      </c>
      <c r="D135">
        <f>Tyran!B132</f>
        <v>0</v>
      </c>
      <c r="E135">
        <f>Fardo!B132</f>
        <v>0</v>
      </c>
      <c r="F135" s="2">
        <f>Entworpe!B132</f>
        <v>0</v>
      </c>
      <c r="G135">
        <v>861</v>
      </c>
      <c r="H135" s="2">
        <f>Calopeia!F132</f>
        <v>46.092250657496905</v>
      </c>
      <c r="I135" s="2">
        <f>Sorange!E132</f>
        <v>33.987577639751549</v>
      </c>
      <c r="J135" s="2">
        <f>Tyran!D132</f>
        <v>19.409836065573771</v>
      </c>
      <c r="K135" s="2">
        <f>Fardo!D132</f>
        <v>15.704918032786885</v>
      </c>
      <c r="L135" s="2">
        <f>Entworpe!D132</f>
        <v>12.5</v>
      </c>
      <c r="M135">
        <f t="shared" si="4"/>
        <v>75</v>
      </c>
    </row>
    <row r="136" spans="1:13" x14ac:dyDescent="0.2">
      <c r="A136">
        <v>132</v>
      </c>
      <c r="B136">
        <f>Calopeia!B133</f>
        <v>40</v>
      </c>
      <c r="C136">
        <f>Sorange!B133</f>
        <v>0</v>
      </c>
      <c r="D136">
        <f>Tyran!B133</f>
        <v>0</v>
      </c>
      <c r="E136">
        <f>Fardo!B133</f>
        <v>0</v>
      </c>
      <c r="F136" s="2">
        <f>Entworpe!B133</f>
        <v>0</v>
      </c>
      <c r="G136">
        <v>862</v>
      </c>
      <c r="H136" s="2">
        <f>Calopeia!F133</f>
        <v>46.092250657496905</v>
      </c>
      <c r="I136" s="2">
        <f>Sorange!E133</f>
        <v>34.140229335881514</v>
      </c>
      <c r="J136" s="2">
        <f>Tyran!D133</f>
        <v>19.409836065573771</v>
      </c>
      <c r="K136" s="2">
        <f>Fardo!D133</f>
        <v>15.704918032786885</v>
      </c>
      <c r="L136" s="2">
        <f>Entworpe!D133</f>
        <v>12.5</v>
      </c>
      <c r="M136">
        <f t="shared" si="4"/>
        <v>40</v>
      </c>
    </row>
    <row r="137" spans="1:13" x14ac:dyDescent="0.2">
      <c r="A137">
        <v>133</v>
      </c>
      <c r="B137">
        <f>Calopeia!B134</f>
        <v>129</v>
      </c>
      <c r="C137">
        <f>Sorange!B134</f>
        <v>0</v>
      </c>
      <c r="D137">
        <f>Tyran!B134</f>
        <v>0</v>
      </c>
      <c r="E137">
        <f>Fardo!B134</f>
        <v>0</v>
      </c>
      <c r="F137" s="2">
        <f>Entworpe!B134</f>
        <v>0</v>
      </c>
      <c r="G137">
        <v>863</v>
      </c>
      <c r="H137" s="2">
        <f>Calopeia!F134</f>
        <v>46.092250657496905</v>
      </c>
      <c r="I137" s="2">
        <f>Sorange!E134</f>
        <v>34.292881032011465</v>
      </c>
      <c r="J137" s="2">
        <f>Tyran!D134</f>
        <v>19.409836065573771</v>
      </c>
      <c r="K137" s="2">
        <f>Fardo!D134</f>
        <v>15.704918032786885</v>
      </c>
      <c r="L137" s="2">
        <f>Entworpe!D134</f>
        <v>12.5</v>
      </c>
      <c r="M137">
        <f t="shared" si="4"/>
        <v>129</v>
      </c>
    </row>
    <row r="138" spans="1:13" x14ac:dyDescent="0.2">
      <c r="A138">
        <v>134</v>
      </c>
      <c r="B138">
        <f>Calopeia!B135</f>
        <v>64</v>
      </c>
      <c r="C138">
        <f>Sorange!B135</f>
        <v>0</v>
      </c>
      <c r="D138">
        <f>Tyran!B135</f>
        <v>0</v>
      </c>
      <c r="E138">
        <f>Fardo!B135</f>
        <v>0</v>
      </c>
      <c r="F138" s="2">
        <f>Entworpe!B135</f>
        <v>0</v>
      </c>
      <c r="G138">
        <v>864</v>
      </c>
      <c r="H138" s="2">
        <f>Calopeia!F135</f>
        <v>46.092250657496905</v>
      </c>
      <c r="I138" s="2">
        <f>Sorange!E135</f>
        <v>34.445532728141416</v>
      </c>
      <c r="J138" s="2">
        <f>Tyran!D135</f>
        <v>19.409836065573771</v>
      </c>
      <c r="K138" s="2">
        <f>Fardo!D135</f>
        <v>15.704918032786885</v>
      </c>
      <c r="L138" s="2">
        <f>Entworpe!D135</f>
        <v>12.5</v>
      </c>
      <c r="M138">
        <f t="shared" si="4"/>
        <v>64</v>
      </c>
    </row>
    <row r="139" spans="1:13" x14ac:dyDescent="0.2">
      <c r="A139">
        <v>135</v>
      </c>
      <c r="B139">
        <f>Calopeia!B136</f>
        <v>79</v>
      </c>
      <c r="C139">
        <f>Sorange!B136</f>
        <v>0</v>
      </c>
      <c r="D139">
        <f>Tyran!B136</f>
        <v>0</v>
      </c>
      <c r="E139">
        <f>Fardo!B136</f>
        <v>0</v>
      </c>
      <c r="F139" s="2">
        <f>Entworpe!B136</f>
        <v>0</v>
      </c>
      <c r="G139">
        <v>865</v>
      </c>
      <c r="H139" s="2">
        <f>Calopeia!F136</f>
        <v>46.092250657496905</v>
      </c>
      <c r="I139" s="2">
        <f>Sorange!E136</f>
        <v>34.598184424271381</v>
      </c>
      <c r="J139" s="2">
        <f>Tyran!D136</f>
        <v>19.409836065573771</v>
      </c>
      <c r="K139" s="2">
        <f>Fardo!D136</f>
        <v>15.704918032786885</v>
      </c>
      <c r="L139" s="2">
        <f>Entworpe!D136</f>
        <v>12.5</v>
      </c>
      <c r="M139">
        <f t="shared" si="4"/>
        <v>79</v>
      </c>
    </row>
    <row r="140" spans="1:13" x14ac:dyDescent="0.2">
      <c r="A140">
        <v>136</v>
      </c>
      <c r="B140">
        <f>Calopeia!B137</f>
        <v>69</v>
      </c>
      <c r="C140">
        <f>Sorange!B137</f>
        <v>0</v>
      </c>
      <c r="D140">
        <f>Tyran!B137</f>
        <v>0</v>
      </c>
      <c r="E140">
        <f>Fardo!B137</f>
        <v>0</v>
      </c>
      <c r="F140" s="2">
        <f>Entworpe!B137</f>
        <v>0</v>
      </c>
      <c r="G140">
        <v>866</v>
      </c>
      <c r="H140" s="2">
        <f>Calopeia!F137</f>
        <v>46.092250657496905</v>
      </c>
      <c r="I140" s="2">
        <f>Sorange!E137</f>
        <v>34.750836120401331</v>
      </c>
      <c r="J140" s="2">
        <f>Tyran!D137</f>
        <v>19.409836065573771</v>
      </c>
      <c r="K140" s="2">
        <f>Fardo!D137</f>
        <v>15.704918032786885</v>
      </c>
      <c r="L140" s="2">
        <f>Entworpe!D137</f>
        <v>12.5</v>
      </c>
      <c r="M140">
        <f t="shared" si="4"/>
        <v>69</v>
      </c>
    </row>
    <row r="141" spans="1:13" x14ac:dyDescent="0.2">
      <c r="A141">
        <v>137</v>
      </c>
      <c r="B141">
        <f>Calopeia!B138</f>
        <v>49</v>
      </c>
      <c r="C141">
        <f>Sorange!B138</f>
        <v>0</v>
      </c>
      <c r="D141">
        <f>Tyran!B138</f>
        <v>0</v>
      </c>
      <c r="E141">
        <f>Fardo!B138</f>
        <v>0</v>
      </c>
      <c r="F141" s="2">
        <f>Entworpe!B138</f>
        <v>0</v>
      </c>
      <c r="G141">
        <v>867</v>
      </c>
      <c r="H141" s="2">
        <f>Calopeia!F138</f>
        <v>46.092250657496905</v>
      </c>
      <c r="I141" s="2">
        <f>Sorange!E138</f>
        <v>34.903487816531296</v>
      </c>
      <c r="J141" s="2">
        <f>Tyran!D138</f>
        <v>19.409836065573771</v>
      </c>
      <c r="K141" s="2">
        <f>Fardo!D138</f>
        <v>15.704918032786885</v>
      </c>
      <c r="L141" s="2">
        <f>Entworpe!D138</f>
        <v>12.5</v>
      </c>
      <c r="M141">
        <f t="shared" si="4"/>
        <v>49</v>
      </c>
    </row>
    <row r="142" spans="1:13" x14ac:dyDescent="0.2">
      <c r="A142">
        <v>138</v>
      </c>
      <c r="B142">
        <f>Calopeia!B139</f>
        <v>45</v>
      </c>
      <c r="C142">
        <f>Sorange!B139</f>
        <v>0</v>
      </c>
      <c r="D142">
        <f>Tyran!B139</f>
        <v>0</v>
      </c>
      <c r="E142">
        <f>Fardo!B139</f>
        <v>0</v>
      </c>
      <c r="F142" s="2">
        <f>Entworpe!B139</f>
        <v>0</v>
      </c>
      <c r="G142">
        <v>868</v>
      </c>
      <c r="H142" s="2">
        <f>Calopeia!F139</f>
        <v>46.092250657496905</v>
      </c>
      <c r="I142" s="2">
        <f>Sorange!E139</f>
        <v>35.056139512661247</v>
      </c>
      <c r="J142" s="2">
        <f>Tyran!D139</f>
        <v>19.409836065573771</v>
      </c>
      <c r="K142" s="2">
        <f>Fardo!D139</f>
        <v>15.704918032786885</v>
      </c>
      <c r="L142" s="2">
        <f>Entworpe!D139</f>
        <v>12.5</v>
      </c>
      <c r="M142">
        <f t="shared" si="4"/>
        <v>45</v>
      </c>
    </row>
    <row r="143" spans="1:13" x14ac:dyDescent="0.2">
      <c r="A143">
        <v>139</v>
      </c>
      <c r="B143">
        <f>Calopeia!B140</f>
        <v>43</v>
      </c>
      <c r="C143">
        <f>Sorange!B140</f>
        <v>0</v>
      </c>
      <c r="D143">
        <f>Tyran!B140</f>
        <v>0</v>
      </c>
      <c r="E143">
        <f>Fardo!B140</f>
        <v>0</v>
      </c>
      <c r="F143" s="2">
        <f>Entworpe!B140</f>
        <v>0</v>
      </c>
      <c r="G143">
        <v>869</v>
      </c>
      <c r="H143" s="2">
        <f>Calopeia!F140</f>
        <v>46.092250657496905</v>
      </c>
      <c r="I143" s="2">
        <f>Sorange!E140</f>
        <v>35.208791208791212</v>
      </c>
      <c r="J143" s="2">
        <f>Tyran!D140</f>
        <v>19.409836065573771</v>
      </c>
      <c r="K143" s="2">
        <f>Fardo!D140</f>
        <v>15.704918032786885</v>
      </c>
      <c r="L143" s="2">
        <f>Entworpe!D140</f>
        <v>12.5</v>
      </c>
      <c r="M143">
        <f t="shared" si="4"/>
        <v>43</v>
      </c>
    </row>
    <row r="144" spans="1:13" x14ac:dyDescent="0.2">
      <c r="A144">
        <v>140</v>
      </c>
      <c r="B144">
        <f>Calopeia!B141</f>
        <v>62</v>
      </c>
      <c r="C144">
        <f>Sorange!B141</f>
        <v>0</v>
      </c>
      <c r="D144">
        <f>Tyran!B141</f>
        <v>0</v>
      </c>
      <c r="E144">
        <f>Fardo!B141</f>
        <v>0</v>
      </c>
      <c r="F144" s="2">
        <f>Entworpe!B141</f>
        <v>0</v>
      </c>
      <c r="G144">
        <v>870</v>
      </c>
      <c r="H144" s="2">
        <f>Calopeia!F141</f>
        <v>46.092250657496905</v>
      </c>
      <c r="I144" s="2">
        <f>Sorange!E141</f>
        <v>35.361442904921162</v>
      </c>
      <c r="J144" s="2">
        <f>Tyran!D141</f>
        <v>19.409836065573771</v>
      </c>
      <c r="K144" s="2">
        <f>Fardo!D141</f>
        <v>15.704918032786885</v>
      </c>
      <c r="L144" s="2">
        <f>Entworpe!D141</f>
        <v>12.5</v>
      </c>
      <c r="M144">
        <f t="shared" si="4"/>
        <v>62</v>
      </c>
    </row>
    <row r="145" spans="1:13" x14ac:dyDescent="0.2">
      <c r="A145">
        <v>141</v>
      </c>
      <c r="B145">
        <f>Calopeia!B142</f>
        <v>52</v>
      </c>
      <c r="C145">
        <f>Sorange!B142</f>
        <v>0</v>
      </c>
      <c r="D145">
        <f>Tyran!B142</f>
        <v>0</v>
      </c>
      <c r="E145">
        <f>Fardo!B142</f>
        <v>0</v>
      </c>
      <c r="F145" s="2">
        <f>Entworpe!B142</f>
        <v>0</v>
      </c>
      <c r="G145">
        <v>871</v>
      </c>
      <c r="H145" s="2">
        <f>Calopeia!F142</f>
        <v>46.092250657496905</v>
      </c>
      <c r="I145" s="2">
        <f>Sorange!E142</f>
        <v>35.514094601051127</v>
      </c>
      <c r="J145" s="2">
        <f>Tyran!D142</f>
        <v>19.409836065573771</v>
      </c>
      <c r="K145" s="2">
        <f>Fardo!D142</f>
        <v>15.704918032786885</v>
      </c>
      <c r="L145" s="2">
        <f>Entworpe!D142</f>
        <v>12.5</v>
      </c>
      <c r="M145">
        <f t="shared" si="4"/>
        <v>52</v>
      </c>
    </row>
    <row r="146" spans="1:13" x14ac:dyDescent="0.2">
      <c r="A146">
        <v>142</v>
      </c>
      <c r="B146">
        <f>Calopeia!B143</f>
        <v>48</v>
      </c>
      <c r="C146">
        <f>Sorange!B143</f>
        <v>0</v>
      </c>
      <c r="D146">
        <f>Tyran!B143</f>
        <v>0</v>
      </c>
      <c r="E146">
        <f>Fardo!B143</f>
        <v>0</v>
      </c>
      <c r="F146" s="2">
        <f>Entworpe!B143</f>
        <v>0</v>
      </c>
      <c r="G146">
        <v>872</v>
      </c>
      <c r="H146" s="2">
        <f>Calopeia!F143</f>
        <v>46.092250657496905</v>
      </c>
      <c r="I146" s="2">
        <f>Sorange!E143</f>
        <v>35.666746297181078</v>
      </c>
      <c r="J146" s="2">
        <f>Tyran!D143</f>
        <v>19.409836065573771</v>
      </c>
      <c r="K146" s="2">
        <f>Fardo!D143</f>
        <v>15.704918032786885</v>
      </c>
      <c r="L146" s="2">
        <f>Entworpe!D143</f>
        <v>12.5</v>
      </c>
      <c r="M146">
        <f t="shared" si="4"/>
        <v>48</v>
      </c>
    </row>
    <row r="147" spans="1:13" x14ac:dyDescent="0.2">
      <c r="A147">
        <v>143</v>
      </c>
      <c r="B147">
        <f>Calopeia!B144</f>
        <v>83</v>
      </c>
      <c r="C147">
        <f>Sorange!B144</f>
        <v>0</v>
      </c>
      <c r="D147">
        <f>Tyran!B144</f>
        <v>0</v>
      </c>
      <c r="E147">
        <f>Fardo!B144</f>
        <v>0</v>
      </c>
      <c r="F147" s="2">
        <f>Entworpe!B144</f>
        <v>0</v>
      </c>
      <c r="G147">
        <v>873</v>
      </c>
      <c r="H147" s="2">
        <f>Calopeia!F144</f>
        <v>46.092250657496905</v>
      </c>
      <c r="I147" s="2">
        <f>Sorange!E144</f>
        <v>35.819397993311028</v>
      </c>
      <c r="J147" s="2">
        <f>Tyran!D144</f>
        <v>19.409836065573771</v>
      </c>
      <c r="K147" s="2">
        <f>Fardo!D144</f>
        <v>15.704918032786885</v>
      </c>
      <c r="L147" s="2">
        <f>Entworpe!D144</f>
        <v>12.5</v>
      </c>
      <c r="M147">
        <f t="shared" si="4"/>
        <v>83</v>
      </c>
    </row>
    <row r="148" spans="1:13" x14ac:dyDescent="0.2">
      <c r="A148">
        <v>144</v>
      </c>
      <c r="B148">
        <f>Calopeia!B145</f>
        <v>45</v>
      </c>
      <c r="C148">
        <f>Sorange!B145</f>
        <v>0</v>
      </c>
      <c r="D148">
        <f>Tyran!B145</f>
        <v>0</v>
      </c>
      <c r="E148">
        <f>Fardo!B145</f>
        <v>0</v>
      </c>
      <c r="F148" s="2">
        <f>Entworpe!B145</f>
        <v>0</v>
      </c>
      <c r="G148">
        <v>874</v>
      </c>
      <c r="H148" s="2">
        <f>Calopeia!F145</f>
        <v>46.092250657496905</v>
      </c>
      <c r="I148" s="2">
        <f>Sorange!E145</f>
        <v>35.972049689440993</v>
      </c>
      <c r="J148" s="2">
        <f>Tyran!D145</f>
        <v>19.409836065573771</v>
      </c>
      <c r="K148" s="2">
        <f>Fardo!D145</f>
        <v>15.704918032786885</v>
      </c>
      <c r="L148" s="2">
        <f>Entworpe!D145</f>
        <v>12.5</v>
      </c>
      <c r="M148">
        <f t="shared" si="4"/>
        <v>45</v>
      </c>
    </row>
    <row r="149" spans="1:13" x14ac:dyDescent="0.2">
      <c r="A149">
        <v>145</v>
      </c>
      <c r="B149">
        <f>Calopeia!B146</f>
        <v>42</v>
      </c>
      <c r="C149">
        <f>Sorange!B146</f>
        <v>0</v>
      </c>
      <c r="D149">
        <f>Tyran!B146</f>
        <v>0</v>
      </c>
      <c r="E149">
        <f>Fardo!B146</f>
        <v>0</v>
      </c>
      <c r="F149" s="2">
        <f>Entworpe!B146</f>
        <v>0</v>
      </c>
      <c r="G149">
        <v>875</v>
      </c>
      <c r="H149" s="2">
        <f>Calopeia!F146</f>
        <v>46.092250657496905</v>
      </c>
      <c r="I149" s="2">
        <f>Sorange!E146</f>
        <v>36.124701385570944</v>
      </c>
      <c r="J149" s="2">
        <f>Tyran!D146</f>
        <v>19.409836065573771</v>
      </c>
      <c r="K149" s="2">
        <f>Fardo!D146</f>
        <v>15.704918032786885</v>
      </c>
      <c r="L149" s="2">
        <f>Entworpe!D146</f>
        <v>12.5</v>
      </c>
      <c r="M149">
        <f t="shared" si="4"/>
        <v>42</v>
      </c>
    </row>
    <row r="150" spans="1:13" x14ac:dyDescent="0.2">
      <c r="A150">
        <v>146</v>
      </c>
      <c r="B150">
        <f>Calopeia!B147</f>
        <v>83</v>
      </c>
      <c r="C150">
        <f>Sorange!B147</f>
        <v>0</v>
      </c>
      <c r="D150">
        <f>Tyran!B147</f>
        <v>0</v>
      </c>
      <c r="E150">
        <f>Fardo!B147</f>
        <v>0</v>
      </c>
      <c r="F150" s="2">
        <f>Entworpe!B147</f>
        <v>0</v>
      </c>
      <c r="G150">
        <v>876</v>
      </c>
      <c r="H150" s="2">
        <f>Calopeia!F147</f>
        <v>46.092250657496905</v>
      </c>
      <c r="I150" s="2">
        <f>Sorange!E147</f>
        <v>36.277353081700909</v>
      </c>
      <c r="J150" s="2">
        <f>Tyran!D147</f>
        <v>19.409836065573771</v>
      </c>
      <c r="K150" s="2">
        <f>Fardo!D147</f>
        <v>15.704918032786885</v>
      </c>
      <c r="L150" s="2">
        <f>Entworpe!D147</f>
        <v>12.5</v>
      </c>
      <c r="M150">
        <f t="shared" si="4"/>
        <v>83</v>
      </c>
    </row>
    <row r="151" spans="1:13" x14ac:dyDescent="0.2">
      <c r="A151">
        <v>147</v>
      </c>
      <c r="B151">
        <f>Calopeia!B148</f>
        <v>57</v>
      </c>
      <c r="C151">
        <f>Sorange!B148</f>
        <v>0</v>
      </c>
      <c r="D151">
        <f>Tyran!B148</f>
        <v>0</v>
      </c>
      <c r="E151">
        <f>Fardo!B148</f>
        <v>0</v>
      </c>
      <c r="F151" s="2">
        <f>Entworpe!B148</f>
        <v>0</v>
      </c>
      <c r="G151">
        <v>877</v>
      </c>
      <c r="H151" s="2">
        <f>Calopeia!F148</f>
        <v>67.906594503598825</v>
      </c>
      <c r="I151" s="2">
        <f>Sorange!E148</f>
        <v>36.43000477783086</v>
      </c>
      <c r="J151" s="2">
        <f>Tyran!D148</f>
        <v>19.409836065573771</v>
      </c>
      <c r="K151" s="2">
        <f>Fardo!D148</f>
        <v>15.704918032786885</v>
      </c>
      <c r="L151" s="2">
        <f>Entworpe!D148</f>
        <v>12.5</v>
      </c>
      <c r="M151">
        <f t="shared" si="4"/>
        <v>57</v>
      </c>
    </row>
    <row r="152" spans="1:13" x14ac:dyDescent="0.2">
      <c r="A152">
        <v>148</v>
      </c>
      <c r="B152">
        <f>Calopeia!B149</f>
        <v>61</v>
      </c>
      <c r="C152">
        <f>Sorange!B149</f>
        <v>0</v>
      </c>
      <c r="D152">
        <f>Tyran!B149</f>
        <v>0</v>
      </c>
      <c r="E152">
        <f>Fardo!B149</f>
        <v>0</v>
      </c>
      <c r="F152" s="2">
        <f>Entworpe!B149</f>
        <v>0</v>
      </c>
      <c r="G152">
        <v>878</v>
      </c>
      <c r="H152" s="2">
        <f>Calopeia!F149</f>
        <v>67.906594503598825</v>
      </c>
      <c r="I152" s="2">
        <f>Sorange!E149</f>
        <v>36.582656473960824</v>
      </c>
      <c r="J152" s="2">
        <f>Tyran!D149</f>
        <v>19.409836065573771</v>
      </c>
      <c r="K152" s="2">
        <f>Fardo!D149</f>
        <v>15.704918032786885</v>
      </c>
      <c r="L152" s="2">
        <f>Entworpe!D149</f>
        <v>12.5</v>
      </c>
      <c r="M152">
        <f t="shared" si="4"/>
        <v>61</v>
      </c>
    </row>
    <row r="153" spans="1:13" x14ac:dyDescent="0.2">
      <c r="A153">
        <v>149</v>
      </c>
      <c r="B153">
        <f>Calopeia!B150</f>
        <v>81</v>
      </c>
      <c r="C153">
        <f>Sorange!B150</f>
        <v>0</v>
      </c>
      <c r="D153">
        <f>Tyran!B150</f>
        <v>0</v>
      </c>
      <c r="E153">
        <f>Fardo!B150</f>
        <v>0</v>
      </c>
      <c r="F153" s="2">
        <f>Entworpe!B150</f>
        <v>0</v>
      </c>
      <c r="G153">
        <v>879</v>
      </c>
      <c r="H153" s="2">
        <f>Calopeia!F150</f>
        <v>67.906594503598825</v>
      </c>
      <c r="I153" s="2">
        <f>Sorange!E150</f>
        <v>36.735308170090775</v>
      </c>
      <c r="J153" s="2">
        <f>Tyran!D150</f>
        <v>19.409836065573771</v>
      </c>
      <c r="K153" s="2">
        <f>Fardo!D150</f>
        <v>15.704918032786885</v>
      </c>
      <c r="L153" s="2">
        <f>Entworpe!D150</f>
        <v>12.5</v>
      </c>
      <c r="M153">
        <f t="shared" si="4"/>
        <v>81</v>
      </c>
    </row>
    <row r="154" spans="1:13" x14ac:dyDescent="0.2">
      <c r="A154">
        <v>150</v>
      </c>
      <c r="B154">
        <f>Calopeia!B151</f>
        <v>59</v>
      </c>
      <c r="C154">
        <f>Sorange!B151</f>
        <v>0</v>
      </c>
      <c r="D154">
        <f>Tyran!B151</f>
        <v>0</v>
      </c>
      <c r="E154">
        <f>Fardo!B151</f>
        <v>0</v>
      </c>
      <c r="F154" s="2">
        <f>Entworpe!B151</f>
        <v>0</v>
      </c>
      <c r="G154">
        <v>880</v>
      </c>
      <c r="H154" s="2">
        <f>Calopeia!F151</f>
        <v>67.906594503598825</v>
      </c>
      <c r="I154" s="2">
        <f>Sorange!E151</f>
        <v>36.88795986622074</v>
      </c>
      <c r="J154" s="2">
        <f>Tyran!D151</f>
        <v>19.409836065573771</v>
      </c>
      <c r="K154" s="2">
        <f>Fardo!D151</f>
        <v>15.704918032786885</v>
      </c>
      <c r="L154" s="2">
        <f>Entworpe!D151</f>
        <v>12.5</v>
      </c>
      <c r="M154">
        <f t="shared" si="4"/>
        <v>59</v>
      </c>
    </row>
    <row r="155" spans="1:13" x14ac:dyDescent="0.2">
      <c r="A155">
        <v>151</v>
      </c>
      <c r="B155">
        <f>Calopeia!B152</f>
        <v>51</v>
      </c>
      <c r="C155">
        <f>Sorange!B152</f>
        <v>0</v>
      </c>
      <c r="D155">
        <f>Tyran!B152</f>
        <v>0</v>
      </c>
      <c r="E155">
        <f>Fardo!B152</f>
        <v>0</v>
      </c>
      <c r="F155" s="2">
        <f>Entworpe!B152</f>
        <v>0</v>
      </c>
      <c r="G155">
        <v>881</v>
      </c>
      <c r="H155" s="2">
        <f>Calopeia!F152</f>
        <v>67.906594503598825</v>
      </c>
      <c r="I155" s="2">
        <f>Sorange!E152</f>
        <v>37.040611562350691</v>
      </c>
      <c r="J155" s="2">
        <f>Tyran!D152</f>
        <v>19.409836065573771</v>
      </c>
      <c r="K155" s="2">
        <f>Fardo!D152</f>
        <v>15.704918032786885</v>
      </c>
      <c r="L155" s="2">
        <f>Entworpe!D152</f>
        <v>12.5</v>
      </c>
      <c r="M155">
        <f t="shared" si="4"/>
        <v>51</v>
      </c>
    </row>
    <row r="156" spans="1:13" x14ac:dyDescent="0.2">
      <c r="A156">
        <v>152</v>
      </c>
      <c r="B156">
        <f>Calopeia!B153</f>
        <v>68</v>
      </c>
      <c r="C156">
        <f>Sorange!B153</f>
        <v>0</v>
      </c>
      <c r="D156">
        <f>Tyran!B153</f>
        <v>0</v>
      </c>
      <c r="E156">
        <f>Fardo!B153</f>
        <v>0</v>
      </c>
      <c r="F156" s="2">
        <f>Entworpe!B153</f>
        <v>0</v>
      </c>
      <c r="G156">
        <v>882</v>
      </c>
      <c r="H156" s="2">
        <f>Calopeia!F153</f>
        <v>67.906594503598825</v>
      </c>
      <c r="I156" s="2">
        <f>Sorange!E153</f>
        <v>37.193263258480641</v>
      </c>
      <c r="J156" s="2">
        <f>Tyran!D153</f>
        <v>19.409836065573771</v>
      </c>
      <c r="K156" s="2">
        <f>Fardo!D153</f>
        <v>15.704918032786885</v>
      </c>
      <c r="L156" s="2">
        <f>Entworpe!D153</f>
        <v>12.5</v>
      </c>
      <c r="M156">
        <f t="shared" si="4"/>
        <v>68</v>
      </c>
    </row>
    <row r="157" spans="1:13" x14ac:dyDescent="0.2">
      <c r="A157">
        <v>153</v>
      </c>
      <c r="B157">
        <f>Calopeia!B154</f>
        <v>101</v>
      </c>
      <c r="C157">
        <f>Sorange!B154</f>
        <v>0</v>
      </c>
      <c r="D157">
        <f>Tyran!B154</f>
        <v>0</v>
      </c>
      <c r="E157">
        <f>Fardo!B154</f>
        <v>0</v>
      </c>
      <c r="F157" s="2">
        <f>Entworpe!B154</f>
        <v>0</v>
      </c>
      <c r="G157">
        <v>883</v>
      </c>
      <c r="H157" s="2">
        <f>Calopeia!F154</f>
        <v>67.906594503598825</v>
      </c>
      <c r="I157" s="2">
        <f>Sorange!E154</f>
        <v>37.345914954610606</v>
      </c>
      <c r="J157" s="2">
        <f>Tyran!D154</f>
        <v>19.409836065573771</v>
      </c>
      <c r="K157" s="2">
        <f>Fardo!D154</f>
        <v>15.704918032786885</v>
      </c>
      <c r="L157" s="2">
        <f>Entworpe!D154</f>
        <v>12.5</v>
      </c>
      <c r="M157">
        <f t="shared" si="4"/>
        <v>101</v>
      </c>
    </row>
    <row r="158" spans="1:13" x14ac:dyDescent="0.2">
      <c r="A158">
        <v>154</v>
      </c>
      <c r="B158">
        <f>Calopeia!B155</f>
        <v>80</v>
      </c>
      <c r="C158">
        <f>Sorange!B155</f>
        <v>0</v>
      </c>
      <c r="D158">
        <f>Tyran!B155</f>
        <v>0</v>
      </c>
      <c r="E158">
        <f>Fardo!B155</f>
        <v>0</v>
      </c>
      <c r="F158" s="2">
        <f>Entworpe!B155</f>
        <v>0</v>
      </c>
      <c r="G158">
        <v>884</v>
      </c>
      <c r="H158" s="2">
        <f>Calopeia!F155</f>
        <v>67.906594503598825</v>
      </c>
      <c r="I158" s="2">
        <f>Sorange!E155</f>
        <v>37.498566650740557</v>
      </c>
      <c r="J158" s="2">
        <f>Tyran!D155</f>
        <v>19.409836065573771</v>
      </c>
      <c r="K158" s="2">
        <f>Fardo!D155</f>
        <v>15.704918032786885</v>
      </c>
      <c r="L158" s="2">
        <f>Entworpe!D155</f>
        <v>12.5</v>
      </c>
      <c r="M158">
        <f t="shared" si="4"/>
        <v>80</v>
      </c>
    </row>
    <row r="159" spans="1:13" x14ac:dyDescent="0.2">
      <c r="A159">
        <v>155</v>
      </c>
      <c r="B159">
        <f>Calopeia!B156</f>
        <v>43</v>
      </c>
      <c r="C159">
        <f>Sorange!B156</f>
        <v>0</v>
      </c>
      <c r="D159">
        <f>Tyran!B156</f>
        <v>0</v>
      </c>
      <c r="E159">
        <f>Fardo!B156</f>
        <v>0</v>
      </c>
      <c r="F159" s="2">
        <f>Entworpe!B156</f>
        <v>0</v>
      </c>
      <c r="G159">
        <v>885</v>
      </c>
      <c r="H159" s="2">
        <f>Calopeia!F156</f>
        <v>67.906594503598825</v>
      </c>
      <c r="I159" s="2">
        <f>Sorange!E156</f>
        <v>37.651218346870522</v>
      </c>
      <c r="J159" s="2">
        <f>Tyran!D156</f>
        <v>19.409836065573771</v>
      </c>
      <c r="K159" s="2">
        <f>Fardo!D156</f>
        <v>15.704918032786885</v>
      </c>
      <c r="L159" s="2">
        <f>Entworpe!D156</f>
        <v>12.5</v>
      </c>
      <c r="M159">
        <f t="shared" si="4"/>
        <v>43</v>
      </c>
    </row>
    <row r="160" spans="1:13" x14ac:dyDescent="0.2">
      <c r="A160">
        <v>156</v>
      </c>
      <c r="B160">
        <f>Calopeia!B157</f>
        <v>64</v>
      </c>
      <c r="C160">
        <f>Sorange!B157</f>
        <v>0</v>
      </c>
      <c r="D160">
        <f>Tyran!B157</f>
        <v>0</v>
      </c>
      <c r="E160">
        <f>Fardo!B157</f>
        <v>0</v>
      </c>
      <c r="F160" s="2">
        <f>Entworpe!B157</f>
        <v>0</v>
      </c>
      <c r="G160">
        <v>886</v>
      </c>
      <c r="H160" s="2">
        <f>Calopeia!F157</f>
        <v>67.906594503598825</v>
      </c>
      <c r="I160" s="2">
        <f>Sorange!E157</f>
        <v>37.803870043000472</v>
      </c>
      <c r="J160" s="2">
        <f>Tyran!D157</f>
        <v>19.409836065573771</v>
      </c>
      <c r="K160" s="2">
        <f>Fardo!D157</f>
        <v>15.704918032786885</v>
      </c>
      <c r="L160" s="2">
        <f>Entworpe!D157</f>
        <v>12.5</v>
      </c>
      <c r="M160">
        <f t="shared" si="4"/>
        <v>64</v>
      </c>
    </row>
    <row r="161" spans="1:13" x14ac:dyDescent="0.2">
      <c r="A161">
        <v>157</v>
      </c>
      <c r="B161">
        <f>Calopeia!B158</f>
        <v>89</v>
      </c>
      <c r="C161">
        <f>Sorange!B158</f>
        <v>0</v>
      </c>
      <c r="D161">
        <f>Tyran!B158</f>
        <v>0</v>
      </c>
      <c r="E161">
        <f>Fardo!B158</f>
        <v>0</v>
      </c>
      <c r="F161" s="2">
        <f>Entworpe!B158</f>
        <v>0</v>
      </c>
      <c r="G161">
        <v>887</v>
      </c>
      <c r="H161" s="2">
        <f>Calopeia!F158</f>
        <v>67.906594503598825</v>
      </c>
      <c r="I161" s="2">
        <f>Sorange!E158</f>
        <v>37.956521739130437</v>
      </c>
      <c r="J161" s="2">
        <f>Tyran!D158</f>
        <v>19.409836065573771</v>
      </c>
      <c r="K161" s="2">
        <f>Fardo!D158</f>
        <v>15.704918032786885</v>
      </c>
      <c r="L161" s="2">
        <f>Entworpe!D158</f>
        <v>12.5</v>
      </c>
      <c r="M161">
        <f t="shared" si="4"/>
        <v>89</v>
      </c>
    </row>
    <row r="162" spans="1:13" x14ac:dyDescent="0.2">
      <c r="A162">
        <v>158</v>
      </c>
      <c r="B162">
        <f>Calopeia!B159</f>
        <v>94</v>
      </c>
      <c r="C162">
        <f>Sorange!B159</f>
        <v>0</v>
      </c>
      <c r="D162">
        <f>Tyran!B159</f>
        <v>0</v>
      </c>
      <c r="E162">
        <f>Fardo!B159</f>
        <v>0</v>
      </c>
      <c r="F162" s="2">
        <f>Entworpe!B159</f>
        <v>0</v>
      </c>
      <c r="G162">
        <v>888</v>
      </c>
      <c r="H162" s="2">
        <f>Calopeia!F159</f>
        <v>67.906594503598825</v>
      </c>
      <c r="I162" s="2">
        <f>Sorange!E159</f>
        <v>38.109173435260388</v>
      </c>
      <c r="J162" s="2">
        <f>Tyran!D159</f>
        <v>19.409836065573771</v>
      </c>
      <c r="K162" s="2">
        <f>Fardo!D159</f>
        <v>15.704918032786885</v>
      </c>
      <c r="L162" s="2">
        <f>Entworpe!D159</f>
        <v>12.5</v>
      </c>
      <c r="M162">
        <f t="shared" si="4"/>
        <v>94</v>
      </c>
    </row>
    <row r="163" spans="1:13" x14ac:dyDescent="0.2">
      <c r="A163">
        <v>159</v>
      </c>
      <c r="B163">
        <f>Calopeia!B160</f>
        <v>49</v>
      </c>
      <c r="C163">
        <f>Sorange!B160</f>
        <v>0</v>
      </c>
      <c r="D163">
        <f>Tyran!B160</f>
        <v>0</v>
      </c>
      <c r="E163">
        <f>Fardo!B160</f>
        <v>0</v>
      </c>
      <c r="F163" s="2">
        <f>Entworpe!B160</f>
        <v>0</v>
      </c>
      <c r="G163">
        <v>889</v>
      </c>
      <c r="H163" s="2">
        <f>Calopeia!F160</f>
        <v>67.906594503598825</v>
      </c>
      <c r="I163" s="2">
        <f>Sorange!E160</f>
        <v>38.261825131390353</v>
      </c>
      <c r="J163" s="2">
        <f>Tyran!D160</f>
        <v>19.409836065573771</v>
      </c>
      <c r="K163" s="2">
        <f>Fardo!D160</f>
        <v>15.704918032786885</v>
      </c>
      <c r="L163" s="2">
        <f>Entworpe!D160</f>
        <v>12.5</v>
      </c>
      <c r="M163">
        <f t="shared" si="4"/>
        <v>49</v>
      </c>
    </row>
    <row r="164" spans="1:13" x14ac:dyDescent="0.2">
      <c r="A164">
        <v>160</v>
      </c>
      <c r="B164">
        <f>Calopeia!B161</f>
        <v>77</v>
      </c>
      <c r="C164">
        <f>Sorange!B161</f>
        <v>0</v>
      </c>
      <c r="D164">
        <f>Tyran!B161</f>
        <v>0</v>
      </c>
      <c r="E164">
        <f>Fardo!B161</f>
        <v>0</v>
      </c>
      <c r="F164" s="2">
        <f>Entworpe!B161</f>
        <v>0</v>
      </c>
      <c r="G164">
        <v>890</v>
      </c>
      <c r="H164" s="2">
        <f>Calopeia!F161</f>
        <v>67.906594503598825</v>
      </c>
      <c r="I164" s="2">
        <f>Sorange!E161</f>
        <v>38.414476827520303</v>
      </c>
      <c r="J164" s="2">
        <f>Tyran!D161</f>
        <v>19.409836065573771</v>
      </c>
      <c r="K164" s="2">
        <f>Fardo!D161</f>
        <v>15.704918032786885</v>
      </c>
      <c r="L164" s="2">
        <f>Entworpe!D161</f>
        <v>12.5</v>
      </c>
      <c r="M164">
        <f t="shared" si="4"/>
        <v>77</v>
      </c>
    </row>
    <row r="165" spans="1:13" x14ac:dyDescent="0.2">
      <c r="A165">
        <v>161</v>
      </c>
      <c r="B165">
        <f>Calopeia!B162</f>
        <v>74</v>
      </c>
      <c r="C165">
        <f>Sorange!B162</f>
        <v>0</v>
      </c>
      <c r="D165">
        <f>Tyran!B162</f>
        <v>0</v>
      </c>
      <c r="E165">
        <f>Fardo!B162</f>
        <v>0</v>
      </c>
      <c r="F165" s="2">
        <f>Entworpe!B162</f>
        <v>0</v>
      </c>
      <c r="G165">
        <v>891</v>
      </c>
      <c r="H165" s="2">
        <f>Calopeia!F162</f>
        <v>67.906594503598825</v>
      </c>
      <c r="I165" s="2">
        <f>Sorange!E162</f>
        <v>38.567128523650254</v>
      </c>
      <c r="J165" s="2">
        <f>Tyran!D162</f>
        <v>19.409836065573771</v>
      </c>
      <c r="K165" s="2">
        <f>Fardo!D162</f>
        <v>15.704918032786885</v>
      </c>
      <c r="L165" s="2">
        <f>Entworpe!D162</f>
        <v>12.5</v>
      </c>
      <c r="M165">
        <f t="shared" si="4"/>
        <v>74</v>
      </c>
    </row>
    <row r="166" spans="1:13" x14ac:dyDescent="0.2">
      <c r="A166">
        <v>162</v>
      </c>
      <c r="B166">
        <f>Calopeia!B163</f>
        <v>56</v>
      </c>
      <c r="C166">
        <f>Sorange!B163</f>
        <v>0</v>
      </c>
      <c r="D166">
        <f>Tyran!B163</f>
        <v>0</v>
      </c>
      <c r="E166">
        <f>Fardo!B163</f>
        <v>0</v>
      </c>
      <c r="F166" s="2">
        <f>Entworpe!B163</f>
        <v>0</v>
      </c>
      <c r="G166">
        <v>892</v>
      </c>
      <c r="H166" s="2">
        <f>Calopeia!F163</f>
        <v>67.906594503598825</v>
      </c>
      <c r="I166" s="2">
        <f>Sorange!E163</f>
        <v>38.719780219780219</v>
      </c>
      <c r="J166" s="2">
        <f>Tyran!D163</f>
        <v>19.409836065573771</v>
      </c>
      <c r="K166" s="2">
        <f>Fardo!D163</f>
        <v>15.704918032786885</v>
      </c>
      <c r="L166" s="2">
        <f>Entworpe!D163</f>
        <v>12.5</v>
      </c>
      <c r="M166">
        <f t="shared" si="4"/>
        <v>56</v>
      </c>
    </row>
    <row r="167" spans="1:13" x14ac:dyDescent="0.2">
      <c r="A167">
        <v>163</v>
      </c>
      <c r="B167">
        <f>Calopeia!B164</f>
        <v>54</v>
      </c>
      <c r="C167">
        <f>Sorange!B164</f>
        <v>0</v>
      </c>
      <c r="D167">
        <f>Tyran!B164</f>
        <v>0</v>
      </c>
      <c r="E167">
        <f>Fardo!B164</f>
        <v>0</v>
      </c>
      <c r="F167" s="2">
        <f>Entworpe!B164</f>
        <v>0</v>
      </c>
      <c r="G167">
        <v>893</v>
      </c>
      <c r="H167" s="2">
        <f>Calopeia!F164</f>
        <v>67.906594503598825</v>
      </c>
      <c r="I167" s="2">
        <f>Sorange!E164</f>
        <v>38.87243191591017</v>
      </c>
      <c r="J167" s="2">
        <f>Tyran!D164</f>
        <v>19.409836065573771</v>
      </c>
      <c r="K167" s="2">
        <f>Fardo!D164</f>
        <v>15.704918032786885</v>
      </c>
      <c r="L167" s="2">
        <f>Entworpe!D164</f>
        <v>12.5</v>
      </c>
      <c r="M167">
        <f t="shared" si="4"/>
        <v>54</v>
      </c>
    </row>
    <row r="168" spans="1:13" x14ac:dyDescent="0.2">
      <c r="A168">
        <v>164</v>
      </c>
      <c r="B168">
        <f>Calopeia!B165</f>
        <v>67</v>
      </c>
      <c r="C168">
        <f>Sorange!B165</f>
        <v>0</v>
      </c>
      <c r="D168">
        <f>Tyran!B165</f>
        <v>0</v>
      </c>
      <c r="E168">
        <f>Fardo!B165</f>
        <v>0</v>
      </c>
      <c r="F168" s="2">
        <f>Entworpe!B165</f>
        <v>0</v>
      </c>
      <c r="G168">
        <v>894</v>
      </c>
      <c r="H168" s="2">
        <f>Calopeia!F165</f>
        <v>67.906594503598825</v>
      </c>
      <c r="I168" s="2">
        <f>Sorange!E165</f>
        <v>39.025083612040135</v>
      </c>
      <c r="J168" s="2">
        <f>Tyran!D165</f>
        <v>19.409836065573771</v>
      </c>
      <c r="K168" s="2">
        <f>Fardo!D165</f>
        <v>15.704918032786885</v>
      </c>
      <c r="L168" s="2">
        <f>Entworpe!D165</f>
        <v>12.5</v>
      </c>
      <c r="M168">
        <f t="shared" si="4"/>
        <v>67</v>
      </c>
    </row>
    <row r="169" spans="1:13" x14ac:dyDescent="0.2">
      <c r="A169">
        <v>165</v>
      </c>
      <c r="B169">
        <f>Calopeia!B166</f>
        <v>83</v>
      </c>
      <c r="C169">
        <f>Sorange!B166</f>
        <v>0</v>
      </c>
      <c r="D169">
        <f>Tyran!B166</f>
        <v>0</v>
      </c>
      <c r="E169">
        <f>Fardo!B166</f>
        <v>0</v>
      </c>
      <c r="F169" s="2">
        <f>Entworpe!B166</f>
        <v>0</v>
      </c>
      <c r="G169">
        <v>895</v>
      </c>
      <c r="H169" s="2">
        <f>Calopeia!F166</f>
        <v>67.906594503598825</v>
      </c>
      <c r="I169" s="2">
        <f>Sorange!E166</f>
        <v>39.177735308170085</v>
      </c>
      <c r="J169" s="2">
        <f>Tyran!D166</f>
        <v>19.409836065573771</v>
      </c>
      <c r="K169" s="2">
        <f>Fardo!D166</f>
        <v>15.704918032786885</v>
      </c>
      <c r="L169" s="2">
        <f>Entworpe!D166</f>
        <v>12.5</v>
      </c>
      <c r="M169">
        <f t="shared" si="4"/>
        <v>83</v>
      </c>
    </row>
    <row r="170" spans="1:13" x14ac:dyDescent="0.2">
      <c r="A170">
        <v>166</v>
      </c>
      <c r="B170">
        <f>Calopeia!B167</f>
        <v>56</v>
      </c>
      <c r="C170">
        <f>Sorange!B167</f>
        <v>0</v>
      </c>
      <c r="D170">
        <f>Tyran!B167</f>
        <v>0</v>
      </c>
      <c r="E170">
        <f>Fardo!B167</f>
        <v>0</v>
      </c>
      <c r="F170" s="2">
        <f>Entworpe!B167</f>
        <v>0</v>
      </c>
      <c r="G170">
        <v>896</v>
      </c>
      <c r="H170" s="2">
        <f>Calopeia!F167</f>
        <v>67.906594503598825</v>
      </c>
      <c r="I170" s="2">
        <f>Sorange!E167</f>
        <v>39.33038700430005</v>
      </c>
      <c r="J170" s="2">
        <f>Tyran!D167</f>
        <v>19.409836065573771</v>
      </c>
      <c r="K170" s="2">
        <f>Fardo!D167</f>
        <v>15.704918032786885</v>
      </c>
      <c r="L170" s="2">
        <f>Entworpe!D167</f>
        <v>12.5</v>
      </c>
      <c r="M170">
        <f t="shared" si="4"/>
        <v>56</v>
      </c>
    </row>
    <row r="171" spans="1:13" x14ac:dyDescent="0.2">
      <c r="A171">
        <v>167</v>
      </c>
      <c r="B171">
        <f>Calopeia!B168</f>
        <v>70</v>
      </c>
      <c r="C171">
        <f>Sorange!B168</f>
        <v>0</v>
      </c>
      <c r="D171">
        <f>Tyran!B168</f>
        <v>0</v>
      </c>
      <c r="E171">
        <f>Fardo!B168</f>
        <v>0</v>
      </c>
      <c r="F171" s="2">
        <f>Entworpe!B168</f>
        <v>0</v>
      </c>
      <c r="G171">
        <v>897</v>
      </c>
      <c r="H171" s="2">
        <f>Calopeia!F168</f>
        <v>67.906594503598825</v>
      </c>
      <c r="I171" s="2">
        <f>Sorange!E168</f>
        <v>39.483038700430001</v>
      </c>
      <c r="J171" s="2">
        <f>Tyran!D168</f>
        <v>19.409836065573771</v>
      </c>
      <c r="K171" s="2">
        <f>Fardo!D168</f>
        <v>15.704918032786885</v>
      </c>
      <c r="L171" s="2">
        <f>Entworpe!D168</f>
        <v>12.5</v>
      </c>
      <c r="M171">
        <f t="shared" si="4"/>
        <v>70</v>
      </c>
    </row>
    <row r="172" spans="1:13" x14ac:dyDescent="0.2">
      <c r="A172">
        <v>168</v>
      </c>
      <c r="B172">
        <f>Calopeia!B169</f>
        <v>58</v>
      </c>
      <c r="C172">
        <f>Sorange!B169</f>
        <v>0</v>
      </c>
      <c r="D172">
        <f>Tyran!B169</f>
        <v>0</v>
      </c>
      <c r="E172">
        <f>Fardo!B169</f>
        <v>0</v>
      </c>
      <c r="F172" s="2">
        <f>Entworpe!B169</f>
        <v>0</v>
      </c>
      <c r="G172">
        <v>898</v>
      </c>
      <c r="H172" s="2">
        <f>Calopeia!F169</f>
        <v>67.906594503598825</v>
      </c>
      <c r="I172" s="2">
        <f>Sorange!E169</f>
        <v>39.635690396559966</v>
      </c>
      <c r="J172" s="2">
        <f>Tyran!D169</f>
        <v>19.409836065573771</v>
      </c>
      <c r="K172" s="2">
        <f>Fardo!D169</f>
        <v>15.704918032786885</v>
      </c>
      <c r="L172" s="2">
        <f>Entworpe!D169</f>
        <v>12.5</v>
      </c>
      <c r="M172">
        <f t="shared" si="4"/>
        <v>58</v>
      </c>
    </row>
    <row r="173" spans="1:13" x14ac:dyDescent="0.2">
      <c r="A173">
        <v>169</v>
      </c>
      <c r="B173">
        <f>Calopeia!B170</f>
        <v>76</v>
      </c>
      <c r="C173">
        <f>Sorange!B170</f>
        <v>0</v>
      </c>
      <c r="D173">
        <f>Tyran!B170</f>
        <v>0</v>
      </c>
      <c r="E173">
        <f>Fardo!B170</f>
        <v>0</v>
      </c>
      <c r="F173" s="2">
        <f>Entworpe!B170</f>
        <v>0</v>
      </c>
      <c r="G173">
        <v>899</v>
      </c>
      <c r="H173" s="2">
        <f>Calopeia!F170</f>
        <v>67.906594503598825</v>
      </c>
      <c r="I173" s="2">
        <f>Sorange!E170</f>
        <v>39.788342092689916</v>
      </c>
      <c r="J173" s="2">
        <f>Tyran!D170</f>
        <v>19.409836065573771</v>
      </c>
      <c r="K173" s="2">
        <f>Fardo!D170</f>
        <v>15.704918032786885</v>
      </c>
      <c r="L173" s="2">
        <f>Entworpe!D170</f>
        <v>12.5</v>
      </c>
      <c r="M173">
        <f t="shared" si="4"/>
        <v>76</v>
      </c>
    </row>
    <row r="174" spans="1:13" x14ac:dyDescent="0.2">
      <c r="A174">
        <v>170</v>
      </c>
      <c r="B174">
        <f>Calopeia!B171</f>
        <v>74</v>
      </c>
      <c r="C174">
        <f>Sorange!B171</f>
        <v>0</v>
      </c>
      <c r="D174">
        <f>Tyran!B171</f>
        <v>0</v>
      </c>
      <c r="E174">
        <f>Fardo!B171</f>
        <v>0</v>
      </c>
      <c r="F174" s="2">
        <f>Entworpe!B171</f>
        <v>0</v>
      </c>
      <c r="G174">
        <v>900</v>
      </c>
      <c r="H174" s="2">
        <f>Calopeia!F171</f>
        <v>67.906594503598825</v>
      </c>
      <c r="I174" s="2">
        <f>Sorange!E171</f>
        <v>39.940993788819867</v>
      </c>
      <c r="J174" s="2">
        <f>Tyran!D171</f>
        <v>19.409836065573771</v>
      </c>
      <c r="K174" s="2">
        <f>Fardo!D171</f>
        <v>15.704918032786885</v>
      </c>
      <c r="L174" s="2">
        <f>Entworpe!D171</f>
        <v>12.5</v>
      </c>
      <c r="M174">
        <f t="shared" si="4"/>
        <v>74</v>
      </c>
    </row>
    <row r="175" spans="1:13" x14ac:dyDescent="0.2">
      <c r="A175">
        <v>171</v>
      </c>
      <c r="B175">
        <f>Calopeia!B172</f>
        <v>46</v>
      </c>
      <c r="C175">
        <f>Sorange!B172</f>
        <v>0</v>
      </c>
      <c r="D175">
        <f>Tyran!B172</f>
        <v>0</v>
      </c>
      <c r="E175">
        <f>Fardo!B172</f>
        <v>0</v>
      </c>
      <c r="F175" s="2">
        <f>Entworpe!B172</f>
        <v>0</v>
      </c>
      <c r="G175">
        <v>901</v>
      </c>
      <c r="H175" s="2">
        <f>Calopeia!F172</f>
        <v>67.906594503598825</v>
      </c>
      <c r="I175" s="2">
        <f>Sorange!E172</f>
        <v>40.093645484949832</v>
      </c>
      <c r="J175" s="2">
        <f>Tyran!D172</f>
        <v>19.409836065573771</v>
      </c>
      <c r="K175" s="2">
        <f>Fardo!D172</f>
        <v>15.704918032786885</v>
      </c>
      <c r="L175" s="2">
        <f>Entworpe!D172</f>
        <v>12.5</v>
      </c>
      <c r="M175">
        <f t="shared" si="4"/>
        <v>46</v>
      </c>
    </row>
    <row r="176" spans="1:13" x14ac:dyDescent="0.2">
      <c r="A176">
        <v>172</v>
      </c>
      <c r="B176">
        <f>Calopeia!B173</f>
        <v>80</v>
      </c>
      <c r="C176">
        <f>Sorange!B173</f>
        <v>0</v>
      </c>
      <c r="D176">
        <f>Tyran!B173</f>
        <v>0</v>
      </c>
      <c r="E176">
        <f>Fardo!B173</f>
        <v>0</v>
      </c>
      <c r="F176" s="2">
        <f>Entworpe!B173</f>
        <v>0</v>
      </c>
      <c r="G176">
        <v>902</v>
      </c>
      <c r="H176" s="2">
        <f>Calopeia!F173</f>
        <v>67.906594503598825</v>
      </c>
      <c r="I176" s="2">
        <f>Sorange!E173</f>
        <v>40.246297181079782</v>
      </c>
      <c r="J176" s="2">
        <f>Tyran!D173</f>
        <v>19.409836065573771</v>
      </c>
      <c r="K176" s="2">
        <f>Fardo!D173</f>
        <v>15.704918032786885</v>
      </c>
      <c r="L176" s="2">
        <f>Entworpe!D173</f>
        <v>12.5</v>
      </c>
      <c r="M176">
        <f t="shared" si="4"/>
        <v>80</v>
      </c>
    </row>
    <row r="177" spans="1:13" x14ac:dyDescent="0.2">
      <c r="A177">
        <v>173</v>
      </c>
      <c r="B177">
        <f>Calopeia!B174</f>
        <v>48</v>
      </c>
      <c r="C177">
        <f>Sorange!B174</f>
        <v>0</v>
      </c>
      <c r="D177">
        <f>Tyran!B174</f>
        <v>0</v>
      </c>
      <c r="E177">
        <f>Fardo!B174</f>
        <v>0</v>
      </c>
      <c r="F177" s="2">
        <f>Entworpe!B174</f>
        <v>0</v>
      </c>
      <c r="G177">
        <v>903</v>
      </c>
      <c r="H177" s="2">
        <f>Calopeia!F174</f>
        <v>67.906594503598825</v>
      </c>
      <c r="I177" s="2">
        <f>Sorange!E174</f>
        <v>40.398948877209747</v>
      </c>
      <c r="J177" s="2">
        <f>Tyran!D174</f>
        <v>19.409836065573771</v>
      </c>
      <c r="K177" s="2">
        <f>Fardo!D174</f>
        <v>15.704918032786885</v>
      </c>
      <c r="L177" s="2">
        <f>Entworpe!D174</f>
        <v>12.5</v>
      </c>
      <c r="M177">
        <f t="shared" si="4"/>
        <v>48</v>
      </c>
    </row>
    <row r="178" spans="1:13" x14ac:dyDescent="0.2">
      <c r="A178">
        <v>174</v>
      </c>
      <c r="B178">
        <f>Calopeia!B175</f>
        <v>67</v>
      </c>
      <c r="C178">
        <f>Sorange!B175</f>
        <v>0</v>
      </c>
      <c r="D178">
        <f>Tyran!B175</f>
        <v>0</v>
      </c>
      <c r="E178">
        <f>Fardo!B175</f>
        <v>0</v>
      </c>
      <c r="F178" s="2">
        <f>Entworpe!B175</f>
        <v>0</v>
      </c>
      <c r="G178">
        <v>904</v>
      </c>
      <c r="H178" s="2">
        <f>Calopeia!F175</f>
        <v>67.906594503598825</v>
      </c>
      <c r="I178" s="2">
        <f>Sorange!E175</f>
        <v>40.551600573339698</v>
      </c>
      <c r="J178" s="2">
        <f>Tyran!D175</f>
        <v>19.409836065573771</v>
      </c>
      <c r="K178" s="2">
        <f>Fardo!D175</f>
        <v>15.704918032786885</v>
      </c>
      <c r="L178" s="2">
        <f>Entworpe!D175</f>
        <v>12.5</v>
      </c>
      <c r="M178">
        <f t="shared" si="4"/>
        <v>67</v>
      </c>
    </row>
    <row r="179" spans="1:13" x14ac:dyDescent="0.2">
      <c r="A179">
        <v>175</v>
      </c>
      <c r="B179">
        <f>Calopeia!B176</f>
        <v>104</v>
      </c>
      <c r="C179">
        <f>Sorange!B176</f>
        <v>0</v>
      </c>
      <c r="D179">
        <f>Tyran!B176</f>
        <v>0</v>
      </c>
      <c r="E179">
        <f>Fardo!B176</f>
        <v>0</v>
      </c>
      <c r="F179" s="2">
        <f>Entworpe!B176</f>
        <v>0</v>
      </c>
      <c r="G179">
        <v>905</v>
      </c>
      <c r="H179" s="2">
        <f>Calopeia!F176</f>
        <v>67.906594503598825</v>
      </c>
      <c r="I179" s="2">
        <f>Sorange!E176</f>
        <v>40.704252269469663</v>
      </c>
      <c r="J179" s="2">
        <f>Tyran!D176</f>
        <v>19.409836065573771</v>
      </c>
      <c r="K179" s="2">
        <f>Fardo!D176</f>
        <v>15.704918032786885</v>
      </c>
      <c r="L179" s="2">
        <f>Entworpe!D176</f>
        <v>12.5</v>
      </c>
      <c r="M179">
        <f t="shared" si="4"/>
        <v>104</v>
      </c>
    </row>
    <row r="180" spans="1:13" x14ac:dyDescent="0.2">
      <c r="A180">
        <v>176</v>
      </c>
      <c r="B180">
        <f>Calopeia!B177</f>
        <v>41</v>
      </c>
      <c r="C180">
        <f>Sorange!B177</f>
        <v>0</v>
      </c>
      <c r="D180">
        <f>Tyran!B177</f>
        <v>0</v>
      </c>
      <c r="E180">
        <f>Fardo!B177</f>
        <v>0</v>
      </c>
      <c r="F180" s="2">
        <f>Entworpe!B177</f>
        <v>0</v>
      </c>
      <c r="G180">
        <v>906</v>
      </c>
      <c r="H180" s="2">
        <f>Calopeia!F177</f>
        <v>67.906594503598825</v>
      </c>
      <c r="I180" s="2">
        <f>Sorange!E177</f>
        <v>40.856903965599614</v>
      </c>
      <c r="J180" s="2">
        <f>Tyran!D177</f>
        <v>19.409836065573771</v>
      </c>
      <c r="K180" s="2">
        <f>Fardo!D177</f>
        <v>15.704918032786885</v>
      </c>
      <c r="L180" s="2">
        <f>Entworpe!D177</f>
        <v>12.5</v>
      </c>
      <c r="M180">
        <f t="shared" si="4"/>
        <v>41</v>
      </c>
    </row>
    <row r="181" spans="1:13" x14ac:dyDescent="0.2">
      <c r="A181">
        <v>177</v>
      </c>
      <c r="B181">
        <f>Calopeia!B178</f>
        <v>81</v>
      </c>
      <c r="C181">
        <f>Sorange!B178</f>
        <v>0</v>
      </c>
      <c r="D181">
        <f>Tyran!B178</f>
        <v>0</v>
      </c>
      <c r="E181">
        <f>Fardo!B178</f>
        <v>0</v>
      </c>
      <c r="F181" s="2">
        <f>Entworpe!B178</f>
        <v>0</v>
      </c>
      <c r="G181">
        <v>907</v>
      </c>
      <c r="H181" s="2">
        <f>Calopeia!F178</f>
        <v>67.906594503598825</v>
      </c>
      <c r="I181" s="2">
        <f>Sorange!E178</f>
        <v>41.009555661729578</v>
      </c>
      <c r="J181" s="2">
        <f>Tyran!D178</f>
        <v>19.409836065573771</v>
      </c>
      <c r="K181" s="2">
        <f>Fardo!D178</f>
        <v>15.704918032786885</v>
      </c>
      <c r="L181" s="2">
        <f>Entworpe!D178</f>
        <v>12.5</v>
      </c>
      <c r="M181">
        <f t="shared" si="4"/>
        <v>81</v>
      </c>
    </row>
    <row r="182" spans="1:13" x14ac:dyDescent="0.2">
      <c r="A182">
        <v>178</v>
      </c>
      <c r="B182">
        <f>Calopeia!B179</f>
        <v>70</v>
      </c>
      <c r="C182">
        <f>Sorange!B179</f>
        <v>0</v>
      </c>
      <c r="D182">
        <f>Tyran!B179</f>
        <v>0</v>
      </c>
      <c r="E182">
        <f>Fardo!B179</f>
        <v>0</v>
      </c>
      <c r="F182" s="2">
        <f>Entworpe!B179</f>
        <v>0</v>
      </c>
      <c r="G182">
        <v>908</v>
      </c>
      <c r="H182" s="2">
        <f>Calopeia!F179</f>
        <v>67.906594503598825</v>
      </c>
      <c r="I182" s="2">
        <f>Sorange!E179</f>
        <v>41.162207357859529</v>
      </c>
      <c r="J182" s="2">
        <f>Tyran!D179</f>
        <v>19.409836065573771</v>
      </c>
      <c r="K182" s="2">
        <f>Fardo!D179</f>
        <v>15.704918032786885</v>
      </c>
      <c r="L182" s="2">
        <f>Entworpe!D179</f>
        <v>12.5</v>
      </c>
      <c r="M182">
        <f t="shared" si="4"/>
        <v>70</v>
      </c>
    </row>
    <row r="183" spans="1:13" x14ac:dyDescent="0.2">
      <c r="A183">
        <v>179</v>
      </c>
      <c r="B183">
        <f>Calopeia!B180</f>
        <v>69</v>
      </c>
      <c r="C183">
        <f>Sorange!B180</f>
        <v>0</v>
      </c>
      <c r="D183">
        <f>Tyran!B180</f>
        <v>0</v>
      </c>
      <c r="E183">
        <f>Fardo!B180</f>
        <v>0</v>
      </c>
      <c r="F183" s="2">
        <f>Entworpe!B180</f>
        <v>0</v>
      </c>
      <c r="G183">
        <v>909</v>
      </c>
      <c r="H183" s="2">
        <f>Calopeia!F180</f>
        <v>67.906594503598825</v>
      </c>
      <c r="I183" s="2">
        <f>Sorange!E180</f>
        <v>41.31485905398948</v>
      </c>
      <c r="J183" s="2">
        <f>Tyran!D180</f>
        <v>19.409836065573771</v>
      </c>
      <c r="K183" s="2">
        <f>Fardo!D180</f>
        <v>15.704918032786885</v>
      </c>
      <c r="L183" s="2">
        <f>Entworpe!D180</f>
        <v>12.5</v>
      </c>
      <c r="M183">
        <f t="shared" si="4"/>
        <v>69</v>
      </c>
    </row>
    <row r="184" spans="1:13" x14ac:dyDescent="0.2">
      <c r="A184">
        <v>180</v>
      </c>
      <c r="B184">
        <f>Calopeia!B181</f>
        <v>133</v>
      </c>
      <c r="C184">
        <f>Sorange!B181</f>
        <v>0</v>
      </c>
      <c r="D184">
        <f>Tyran!B181</f>
        <v>0</v>
      </c>
      <c r="E184">
        <f>Fardo!B181</f>
        <v>0</v>
      </c>
      <c r="F184" s="2">
        <f>Entworpe!B181</f>
        <v>0</v>
      </c>
      <c r="G184">
        <v>910</v>
      </c>
      <c r="H184" s="2">
        <f>Calopeia!F181</f>
        <v>67.906594503598825</v>
      </c>
      <c r="I184" s="2">
        <f>Sorange!E181</f>
        <v>41.467510750119445</v>
      </c>
      <c r="J184" s="2">
        <f>Tyran!D181</f>
        <v>19.409836065573771</v>
      </c>
      <c r="K184" s="2">
        <f>Fardo!D181</f>
        <v>15.704918032786885</v>
      </c>
      <c r="L184" s="2">
        <f>Entworpe!D181</f>
        <v>12.5</v>
      </c>
      <c r="M184">
        <f t="shared" si="4"/>
        <v>133</v>
      </c>
    </row>
    <row r="185" spans="1:13" x14ac:dyDescent="0.2">
      <c r="A185">
        <v>181</v>
      </c>
      <c r="B185">
        <f>Calopeia!B182</f>
        <v>56</v>
      </c>
      <c r="C185">
        <f>Sorange!B182</f>
        <v>0</v>
      </c>
      <c r="D185">
        <f>Tyran!B182</f>
        <v>0</v>
      </c>
      <c r="E185">
        <f>Fardo!B182</f>
        <v>0</v>
      </c>
      <c r="F185" s="2">
        <f>Entworpe!B182</f>
        <v>0</v>
      </c>
      <c r="G185">
        <v>911</v>
      </c>
      <c r="H185" s="2">
        <f>Calopeia!F182</f>
        <v>67.906594503598825</v>
      </c>
      <c r="I185" s="2">
        <f>Sorange!E182</f>
        <v>41.620162446249395</v>
      </c>
      <c r="J185" s="2">
        <f>Tyran!D182</f>
        <v>19.409836065573771</v>
      </c>
      <c r="K185" s="2">
        <f>Fardo!D182</f>
        <v>15.704918032786885</v>
      </c>
      <c r="L185" s="2">
        <f>Entworpe!D182</f>
        <v>12.5</v>
      </c>
      <c r="M185">
        <f t="shared" si="4"/>
        <v>56</v>
      </c>
    </row>
    <row r="186" spans="1:13" x14ac:dyDescent="0.2">
      <c r="A186">
        <v>182</v>
      </c>
      <c r="B186">
        <f>Calopeia!B183</f>
        <v>56</v>
      </c>
      <c r="C186">
        <f>Sorange!B183</f>
        <v>0</v>
      </c>
      <c r="D186">
        <f>Tyran!B183</f>
        <v>0</v>
      </c>
      <c r="E186">
        <f>Fardo!B183</f>
        <v>0</v>
      </c>
      <c r="F186" s="2">
        <f>Entworpe!B183</f>
        <v>0</v>
      </c>
      <c r="G186">
        <v>912</v>
      </c>
      <c r="H186" s="2">
        <f>Calopeia!F183</f>
        <v>67.906594503598825</v>
      </c>
      <c r="I186" s="2">
        <f>Sorange!E183</f>
        <v>41.77281414237936</v>
      </c>
      <c r="J186" s="2">
        <f>Tyran!D183</f>
        <v>19.409836065573771</v>
      </c>
      <c r="K186" s="2">
        <f>Fardo!D183</f>
        <v>15.704918032786885</v>
      </c>
      <c r="L186" s="2">
        <f>Entworpe!D183</f>
        <v>12.5</v>
      </c>
      <c r="M186">
        <f t="shared" si="4"/>
        <v>56</v>
      </c>
    </row>
    <row r="187" spans="1:13" x14ac:dyDescent="0.2">
      <c r="A187">
        <v>183</v>
      </c>
      <c r="B187">
        <f>Calopeia!B184</f>
        <v>88</v>
      </c>
      <c r="C187">
        <f>Sorange!B184</f>
        <v>0</v>
      </c>
      <c r="D187">
        <f>Tyran!B184</f>
        <v>0</v>
      </c>
      <c r="E187">
        <f>Fardo!B184</f>
        <v>0</v>
      </c>
      <c r="F187" s="2">
        <f>Entworpe!B184</f>
        <v>0</v>
      </c>
      <c r="G187">
        <v>913</v>
      </c>
      <c r="H187" s="2">
        <f>Calopeia!F184</f>
        <v>67.906594503598825</v>
      </c>
      <c r="I187" s="2">
        <f>Sorange!E184</f>
        <v>41.925465838509311</v>
      </c>
      <c r="J187" s="2">
        <f>Tyran!D184</f>
        <v>19.409836065573771</v>
      </c>
      <c r="K187" s="2">
        <f>Fardo!D184</f>
        <v>15.704918032786885</v>
      </c>
      <c r="L187" s="2">
        <f>Entworpe!D184</f>
        <v>12.5</v>
      </c>
      <c r="M187">
        <f t="shared" si="4"/>
        <v>88</v>
      </c>
    </row>
    <row r="188" spans="1:13" x14ac:dyDescent="0.2">
      <c r="A188">
        <v>184</v>
      </c>
      <c r="B188">
        <f>Calopeia!B185</f>
        <v>64</v>
      </c>
      <c r="C188">
        <f>Sorange!B185</f>
        <v>0</v>
      </c>
      <c r="D188">
        <f>Tyran!B185</f>
        <v>0</v>
      </c>
      <c r="E188">
        <f>Fardo!B185</f>
        <v>0</v>
      </c>
      <c r="F188" s="2">
        <f>Entworpe!B185</f>
        <v>0</v>
      </c>
      <c r="G188">
        <v>914</v>
      </c>
      <c r="H188" s="2">
        <f>Calopeia!F185</f>
        <v>67.906594503598825</v>
      </c>
      <c r="I188" s="2">
        <f>Sorange!E185</f>
        <v>42.078117534639276</v>
      </c>
      <c r="J188" s="2">
        <f>Tyran!D185</f>
        <v>19.409836065573771</v>
      </c>
      <c r="K188" s="2">
        <f>Fardo!D185</f>
        <v>15.704918032786885</v>
      </c>
      <c r="L188" s="2">
        <f>Entworpe!D185</f>
        <v>12.5</v>
      </c>
      <c r="M188">
        <f t="shared" si="4"/>
        <v>64</v>
      </c>
    </row>
    <row r="189" spans="1:13" x14ac:dyDescent="0.2">
      <c r="A189">
        <v>185</v>
      </c>
      <c r="B189">
        <f>Calopeia!B186</f>
        <v>58</v>
      </c>
      <c r="C189">
        <f>Sorange!B186</f>
        <v>0</v>
      </c>
      <c r="D189">
        <f>Tyran!B186</f>
        <v>0</v>
      </c>
      <c r="E189">
        <f>Fardo!B186</f>
        <v>0</v>
      </c>
      <c r="F189" s="2">
        <f>Entworpe!B186</f>
        <v>0</v>
      </c>
      <c r="G189">
        <v>915</v>
      </c>
      <c r="H189" s="2">
        <f>Calopeia!F186</f>
        <v>67.906594503598825</v>
      </c>
      <c r="I189" s="2">
        <f>Sorange!E186</f>
        <v>42.230769230769226</v>
      </c>
      <c r="J189" s="2">
        <f>Tyran!D186</f>
        <v>19.409836065573771</v>
      </c>
      <c r="K189" s="2">
        <f>Fardo!D186</f>
        <v>15.704918032786885</v>
      </c>
      <c r="L189" s="2">
        <f>Entworpe!D186</f>
        <v>12.5</v>
      </c>
      <c r="M189">
        <f t="shared" si="4"/>
        <v>58</v>
      </c>
    </row>
    <row r="190" spans="1:13" x14ac:dyDescent="0.2">
      <c r="A190">
        <v>186</v>
      </c>
      <c r="B190">
        <f>Calopeia!B187</f>
        <v>80</v>
      </c>
      <c r="C190">
        <f>Sorange!B187</f>
        <v>0</v>
      </c>
      <c r="D190">
        <f>Tyran!B187</f>
        <v>0</v>
      </c>
      <c r="E190">
        <f>Fardo!B187</f>
        <v>0</v>
      </c>
      <c r="F190" s="2">
        <f>Entworpe!B187</f>
        <v>0</v>
      </c>
      <c r="G190">
        <v>916</v>
      </c>
      <c r="H190" s="2">
        <f>Calopeia!F187</f>
        <v>67.906594503598825</v>
      </c>
      <c r="I190" s="2">
        <f>Sorange!E187</f>
        <v>42.383420926899191</v>
      </c>
      <c r="J190" s="2">
        <f>Tyran!D187</f>
        <v>19.409836065573771</v>
      </c>
      <c r="K190" s="2">
        <f>Fardo!D187</f>
        <v>15.704918032786885</v>
      </c>
      <c r="L190" s="2">
        <f>Entworpe!D187</f>
        <v>12.5</v>
      </c>
      <c r="M190">
        <f t="shared" si="4"/>
        <v>80</v>
      </c>
    </row>
    <row r="191" spans="1:13" x14ac:dyDescent="0.2">
      <c r="A191">
        <v>187</v>
      </c>
      <c r="B191">
        <f>Calopeia!B188</f>
        <v>96</v>
      </c>
      <c r="C191">
        <f>Sorange!B188</f>
        <v>0</v>
      </c>
      <c r="D191">
        <f>Tyran!B188</f>
        <v>0</v>
      </c>
      <c r="E191">
        <f>Fardo!B188</f>
        <v>0</v>
      </c>
      <c r="F191" s="2">
        <f>Entworpe!B188</f>
        <v>0</v>
      </c>
      <c r="G191">
        <v>917</v>
      </c>
      <c r="H191" s="2">
        <f>Calopeia!F188</f>
        <v>67.906594503598825</v>
      </c>
      <c r="I191" s="2">
        <f>Sorange!E188</f>
        <v>42.536072623029142</v>
      </c>
      <c r="J191" s="2">
        <f>Tyran!D188</f>
        <v>19.409836065573771</v>
      </c>
      <c r="K191" s="2">
        <f>Fardo!D188</f>
        <v>15.704918032786885</v>
      </c>
      <c r="L191" s="2">
        <f>Entworpe!D188</f>
        <v>12.5</v>
      </c>
      <c r="M191">
        <f t="shared" si="4"/>
        <v>96</v>
      </c>
    </row>
    <row r="192" spans="1:13" x14ac:dyDescent="0.2">
      <c r="A192">
        <v>188</v>
      </c>
      <c r="B192">
        <f>Calopeia!B189</f>
        <v>60</v>
      </c>
      <c r="C192">
        <f>Sorange!B189</f>
        <v>0</v>
      </c>
      <c r="D192">
        <f>Tyran!B189</f>
        <v>0</v>
      </c>
      <c r="E192">
        <f>Fardo!B189</f>
        <v>0</v>
      </c>
      <c r="F192" s="2">
        <f>Entworpe!B189</f>
        <v>0</v>
      </c>
      <c r="G192">
        <v>918</v>
      </c>
      <c r="H192" s="2">
        <f>Calopeia!F189</f>
        <v>67.906594503598825</v>
      </c>
      <c r="I192" s="2">
        <f>Sorange!E189</f>
        <v>42.688724319159093</v>
      </c>
      <c r="J192" s="2">
        <f>Tyran!D189</f>
        <v>19.409836065573771</v>
      </c>
      <c r="K192" s="2">
        <f>Fardo!D189</f>
        <v>15.704918032786885</v>
      </c>
      <c r="L192" s="2">
        <f>Entworpe!D189</f>
        <v>12.5</v>
      </c>
      <c r="M192">
        <f t="shared" si="4"/>
        <v>60</v>
      </c>
    </row>
    <row r="193" spans="1:13" x14ac:dyDescent="0.2">
      <c r="A193">
        <v>189</v>
      </c>
      <c r="B193">
        <f>Calopeia!B190</f>
        <v>100</v>
      </c>
      <c r="C193">
        <f>Sorange!B190</f>
        <v>0</v>
      </c>
      <c r="D193">
        <f>Tyran!B190</f>
        <v>0</v>
      </c>
      <c r="E193">
        <f>Fardo!B190</f>
        <v>0</v>
      </c>
      <c r="F193" s="2">
        <f>Entworpe!B190</f>
        <v>0</v>
      </c>
      <c r="G193">
        <v>919</v>
      </c>
      <c r="H193" s="2">
        <f>Calopeia!F190</f>
        <v>67.906594503598825</v>
      </c>
      <c r="I193" s="2">
        <f>Sorange!E190</f>
        <v>42.841376015289057</v>
      </c>
      <c r="J193" s="2">
        <f>Tyran!D190</f>
        <v>19.409836065573771</v>
      </c>
      <c r="K193" s="2">
        <f>Fardo!D190</f>
        <v>15.704918032786885</v>
      </c>
      <c r="L193" s="2">
        <f>Entworpe!D190</f>
        <v>12.5</v>
      </c>
      <c r="M193">
        <f t="shared" si="4"/>
        <v>100</v>
      </c>
    </row>
    <row r="194" spans="1:13" x14ac:dyDescent="0.2">
      <c r="A194">
        <v>190</v>
      </c>
      <c r="B194">
        <f>Calopeia!B191</f>
        <v>74</v>
      </c>
      <c r="C194">
        <f>Sorange!B191</f>
        <v>0</v>
      </c>
      <c r="D194">
        <f>Tyran!B191</f>
        <v>0</v>
      </c>
      <c r="E194">
        <f>Fardo!B191</f>
        <v>0</v>
      </c>
      <c r="F194" s="2">
        <f>Entworpe!B191</f>
        <v>0</v>
      </c>
      <c r="G194">
        <v>920</v>
      </c>
      <c r="H194" s="2">
        <f>Calopeia!F191</f>
        <v>67.906594503598825</v>
      </c>
      <c r="I194" s="2">
        <f>Sorange!E191</f>
        <v>42.994027711419008</v>
      </c>
      <c r="J194" s="2">
        <f>Tyran!D191</f>
        <v>19.409836065573771</v>
      </c>
      <c r="K194" s="2">
        <f>Fardo!D191</f>
        <v>15.704918032786885</v>
      </c>
      <c r="L194" s="2">
        <f>Entworpe!D191</f>
        <v>12.5</v>
      </c>
      <c r="M194">
        <f t="shared" si="4"/>
        <v>74</v>
      </c>
    </row>
    <row r="195" spans="1:13" x14ac:dyDescent="0.2">
      <c r="A195">
        <v>191</v>
      </c>
      <c r="B195">
        <f>Calopeia!B192</f>
        <v>44</v>
      </c>
      <c r="C195">
        <f>Sorange!B192</f>
        <v>0</v>
      </c>
      <c r="D195">
        <f>Tyran!B192</f>
        <v>0</v>
      </c>
      <c r="E195">
        <f>Fardo!B192</f>
        <v>0</v>
      </c>
      <c r="F195" s="2">
        <f>Entworpe!B192</f>
        <v>0</v>
      </c>
      <c r="G195">
        <v>921</v>
      </c>
      <c r="H195" s="2">
        <f>Calopeia!F192</f>
        <v>67.906594503598825</v>
      </c>
      <c r="I195" s="2">
        <f>Sorange!E192</f>
        <v>43.146679407548973</v>
      </c>
      <c r="J195" s="2">
        <f>Tyran!D192</f>
        <v>19.409836065573771</v>
      </c>
      <c r="K195" s="2">
        <f>Fardo!D192</f>
        <v>15.704918032786885</v>
      </c>
      <c r="L195" s="2">
        <f>Entworpe!D192</f>
        <v>12.5</v>
      </c>
      <c r="M195">
        <f t="shared" si="4"/>
        <v>44</v>
      </c>
    </row>
    <row r="196" spans="1:13" x14ac:dyDescent="0.2">
      <c r="A196">
        <v>192</v>
      </c>
      <c r="B196">
        <f>Calopeia!B193</f>
        <v>77</v>
      </c>
      <c r="C196">
        <f>Sorange!B193</f>
        <v>0</v>
      </c>
      <c r="D196">
        <f>Tyran!B193</f>
        <v>0</v>
      </c>
      <c r="E196">
        <f>Fardo!B193</f>
        <v>0</v>
      </c>
      <c r="F196" s="2">
        <f>Entworpe!B193</f>
        <v>0</v>
      </c>
      <c r="G196">
        <v>922</v>
      </c>
      <c r="H196" s="2">
        <f>Calopeia!F193</f>
        <v>67.906594503598825</v>
      </c>
      <c r="I196" s="2">
        <f>Sorange!E193</f>
        <v>43.299331103678924</v>
      </c>
      <c r="J196" s="2">
        <f>Tyran!D193</f>
        <v>19.409836065573771</v>
      </c>
      <c r="K196" s="2">
        <f>Fardo!D193</f>
        <v>15.704918032786885</v>
      </c>
      <c r="L196" s="2">
        <f>Entworpe!D193</f>
        <v>12.5</v>
      </c>
      <c r="M196">
        <f t="shared" si="4"/>
        <v>77</v>
      </c>
    </row>
    <row r="197" spans="1:13" x14ac:dyDescent="0.2">
      <c r="A197">
        <v>193</v>
      </c>
      <c r="B197">
        <f>Calopeia!B194</f>
        <v>99</v>
      </c>
      <c r="C197">
        <f>Sorange!B194</f>
        <v>0</v>
      </c>
      <c r="D197">
        <f>Tyran!B194</f>
        <v>0</v>
      </c>
      <c r="E197">
        <f>Fardo!B194</f>
        <v>0</v>
      </c>
      <c r="F197" s="2">
        <f>Entworpe!B194</f>
        <v>0</v>
      </c>
      <c r="G197">
        <v>923</v>
      </c>
      <c r="H197" s="2">
        <f>Calopeia!F194</f>
        <v>67.906594503598825</v>
      </c>
      <c r="I197" s="2">
        <f>Sorange!E194</f>
        <v>43.451982799808889</v>
      </c>
      <c r="J197" s="2">
        <f>Tyran!D194</f>
        <v>19.409836065573771</v>
      </c>
      <c r="K197" s="2">
        <f>Fardo!D194</f>
        <v>15.704918032786885</v>
      </c>
      <c r="L197" s="2">
        <f>Entworpe!D194</f>
        <v>12.5</v>
      </c>
      <c r="M197">
        <f t="shared" si="4"/>
        <v>99</v>
      </c>
    </row>
    <row r="198" spans="1:13" x14ac:dyDescent="0.2">
      <c r="A198">
        <v>194</v>
      </c>
      <c r="B198">
        <f>Calopeia!B195</f>
        <v>109</v>
      </c>
      <c r="C198">
        <f>Sorange!B195</f>
        <v>0</v>
      </c>
      <c r="D198">
        <f>Tyran!B195</f>
        <v>0</v>
      </c>
      <c r="E198">
        <f>Fardo!B195</f>
        <v>0</v>
      </c>
      <c r="F198" s="2">
        <f>Entworpe!B195</f>
        <v>0</v>
      </c>
      <c r="G198">
        <v>924</v>
      </c>
      <c r="H198" s="2">
        <f>Calopeia!F195</f>
        <v>67.906594503598825</v>
      </c>
      <c r="I198" s="2">
        <f>Sorange!E195</f>
        <v>43.604634495938839</v>
      </c>
      <c r="J198" s="2">
        <f>Tyran!D195</f>
        <v>19.409836065573771</v>
      </c>
      <c r="K198" s="2">
        <f>Fardo!D195</f>
        <v>15.704918032786885</v>
      </c>
      <c r="L198" s="2">
        <f>Entworpe!D195</f>
        <v>12.5</v>
      </c>
      <c r="M198">
        <f t="shared" ref="M198:M261" si="5">B198+F198</f>
        <v>109</v>
      </c>
    </row>
    <row r="199" spans="1:13" x14ac:dyDescent="0.2">
      <c r="A199">
        <v>195</v>
      </c>
      <c r="B199">
        <f>Calopeia!B196</f>
        <v>62</v>
      </c>
      <c r="C199">
        <f>Sorange!B196</f>
        <v>0</v>
      </c>
      <c r="D199">
        <f>Tyran!B196</f>
        <v>0</v>
      </c>
      <c r="E199">
        <f>Fardo!B196</f>
        <v>0</v>
      </c>
      <c r="F199" s="2">
        <f>Entworpe!B196</f>
        <v>0</v>
      </c>
      <c r="G199">
        <v>925</v>
      </c>
      <c r="H199" s="2">
        <f>Calopeia!F196</f>
        <v>67.906594503598825</v>
      </c>
      <c r="I199" s="2">
        <f>Sorange!E196</f>
        <v>43.757286192068804</v>
      </c>
      <c r="J199" s="2">
        <f>Tyran!D196</f>
        <v>19.409836065573771</v>
      </c>
      <c r="K199" s="2">
        <f>Fardo!D196</f>
        <v>15.704918032786885</v>
      </c>
      <c r="L199" s="2">
        <f>Entworpe!D196</f>
        <v>12.5</v>
      </c>
      <c r="M199">
        <f t="shared" si="5"/>
        <v>62</v>
      </c>
    </row>
    <row r="200" spans="1:13" x14ac:dyDescent="0.2">
      <c r="A200">
        <v>196</v>
      </c>
      <c r="B200">
        <f>Calopeia!B197</f>
        <v>70</v>
      </c>
      <c r="C200">
        <f>Sorange!B197</f>
        <v>0</v>
      </c>
      <c r="D200">
        <f>Tyran!B197</f>
        <v>0</v>
      </c>
      <c r="E200">
        <f>Fardo!B197</f>
        <v>0</v>
      </c>
      <c r="F200" s="2">
        <f>Entworpe!B197</f>
        <v>0</v>
      </c>
      <c r="G200">
        <v>926</v>
      </c>
      <c r="H200" s="2">
        <f>Calopeia!F197</f>
        <v>67.906594503598825</v>
      </c>
      <c r="I200" s="2">
        <f>Sorange!E197</f>
        <v>43.909937888198755</v>
      </c>
      <c r="J200" s="2">
        <f>Tyran!D197</f>
        <v>19.409836065573771</v>
      </c>
      <c r="K200" s="2">
        <f>Fardo!D197</f>
        <v>15.704918032786885</v>
      </c>
      <c r="L200" s="2">
        <f>Entworpe!D197</f>
        <v>12.5</v>
      </c>
      <c r="M200">
        <f t="shared" si="5"/>
        <v>70</v>
      </c>
    </row>
    <row r="201" spans="1:13" x14ac:dyDescent="0.2">
      <c r="A201">
        <v>197</v>
      </c>
      <c r="B201">
        <f>Calopeia!B198</f>
        <v>56</v>
      </c>
      <c r="C201">
        <f>Sorange!B198</f>
        <v>0</v>
      </c>
      <c r="D201">
        <f>Tyran!B198</f>
        <v>0</v>
      </c>
      <c r="E201">
        <f>Fardo!B198</f>
        <v>0</v>
      </c>
      <c r="F201" s="2">
        <f>Entworpe!B198</f>
        <v>0</v>
      </c>
      <c r="G201">
        <v>927</v>
      </c>
      <c r="H201" s="2">
        <f>Calopeia!F198</f>
        <v>67.906594503598825</v>
      </c>
      <c r="I201" s="2">
        <f>Sorange!E198</f>
        <v>44.062589584328705</v>
      </c>
      <c r="J201" s="2">
        <f>Tyran!D198</f>
        <v>19.409836065573771</v>
      </c>
      <c r="K201" s="2">
        <f>Fardo!D198</f>
        <v>15.704918032786885</v>
      </c>
      <c r="L201" s="2">
        <f>Entworpe!D198</f>
        <v>12.5</v>
      </c>
      <c r="M201">
        <f t="shared" si="5"/>
        <v>56</v>
      </c>
    </row>
    <row r="202" spans="1:13" x14ac:dyDescent="0.2">
      <c r="A202">
        <v>198</v>
      </c>
      <c r="B202">
        <f>Calopeia!B199</f>
        <v>74</v>
      </c>
      <c r="C202">
        <f>Sorange!B199</f>
        <v>0</v>
      </c>
      <c r="D202">
        <f>Tyran!B199</f>
        <v>0</v>
      </c>
      <c r="E202">
        <f>Fardo!B199</f>
        <v>0</v>
      </c>
      <c r="F202" s="2">
        <f>Entworpe!B199</f>
        <v>0</v>
      </c>
      <c r="G202">
        <v>928</v>
      </c>
      <c r="H202" s="2">
        <f>Calopeia!F199</f>
        <v>67.906594503598825</v>
      </c>
      <c r="I202" s="2">
        <f>Sorange!E199</f>
        <v>44.21524128045867</v>
      </c>
      <c r="J202" s="2">
        <f>Tyran!D199</f>
        <v>19.409836065573771</v>
      </c>
      <c r="K202" s="2">
        <f>Fardo!D199</f>
        <v>15.704918032786885</v>
      </c>
      <c r="L202" s="2">
        <f>Entworpe!D199</f>
        <v>12.5</v>
      </c>
      <c r="M202">
        <f t="shared" si="5"/>
        <v>74</v>
      </c>
    </row>
    <row r="203" spans="1:13" x14ac:dyDescent="0.2">
      <c r="A203">
        <v>199</v>
      </c>
      <c r="B203">
        <f>Calopeia!B200</f>
        <v>60</v>
      </c>
      <c r="C203">
        <f>Sorange!B200</f>
        <v>0</v>
      </c>
      <c r="D203">
        <f>Tyran!B200</f>
        <v>0</v>
      </c>
      <c r="E203">
        <f>Fardo!B200</f>
        <v>0</v>
      </c>
      <c r="F203" s="2">
        <f>Entworpe!B200</f>
        <v>0</v>
      </c>
      <c r="G203">
        <v>929</v>
      </c>
      <c r="H203" s="2">
        <f>Calopeia!F200</f>
        <v>67.906594503598825</v>
      </c>
      <c r="I203" s="2">
        <f>Sorange!E200</f>
        <v>44.367892976588621</v>
      </c>
      <c r="J203" s="2">
        <f>Tyran!D200</f>
        <v>19.409836065573771</v>
      </c>
      <c r="K203" s="2">
        <f>Fardo!D200</f>
        <v>15.704918032786885</v>
      </c>
      <c r="L203" s="2">
        <f>Entworpe!D200</f>
        <v>12.5</v>
      </c>
      <c r="M203">
        <f t="shared" si="5"/>
        <v>60</v>
      </c>
    </row>
    <row r="204" spans="1:13" x14ac:dyDescent="0.2">
      <c r="A204">
        <v>200</v>
      </c>
      <c r="B204">
        <f>Calopeia!B201</f>
        <v>36</v>
      </c>
      <c r="C204">
        <f>Sorange!B201</f>
        <v>0</v>
      </c>
      <c r="D204">
        <f>Tyran!B201</f>
        <v>0</v>
      </c>
      <c r="E204">
        <f>Fardo!B201</f>
        <v>0</v>
      </c>
      <c r="F204" s="2">
        <f>Entworpe!B201</f>
        <v>0</v>
      </c>
      <c r="G204">
        <v>930</v>
      </c>
      <c r="H204" s="2">
        <f>Calopeia!F201</f>
        <v>67.906594503598825</v>
      </c>
      <c r="I204" s="2">
        <f>Sorange!E201</f>
        <v>44.520544672718586</v>
      </c>
      <c r="J204" s="2">
        <f>Tyran!D201</f>
        <v>19.409836065573771</v>
      </c>
      <c r="K204" s="2">
        <f>Fardo!D201</f>
        <v>15.704918032786885</v>
      </c>
      <c r="L204" s="2">
        <f>Entworpe!D201</f>
        <v>12.5</v>
      </c>
      <c r="M204">
        <f t="shared" si="5"/>
        <v>36</v>
      </c>
    </row>
    <row r="205" spans="1:13" x14ac:dyDescent="0.2">
      <c r="A205">
        <v>201</v>
      </c>
      <c r="B205">
        <f>Calopeia!B202</f>
        <v>72</v>
      </c>
      <c r="C205">
        <f>Sorange!B202</f>
        <v>0</v>
      </c>
      <c r="D205">
        <f>Tyran!B202</f>
        <v>0</v>
      </c>
      <c r="E205">
        <f>Fardo!B202</f>
        <v>0</v>
      </c>
      <c r="F205" s="2">
        <f>Entworpe!B202</f>
        <v>0</v>
      </c>
      <c r="G205">
        <v>931</v>
      </c>
      <c r="H205" s="2">
        <f>Calopeia!F202</f>
        <v>67.906594503598825</v>
      </c>
      <c r="I205" s="2">
        <f>Sorange!E202</f>
        <v>44.673196368848537</v>
      </c>
      <c r="J205" s="2">
        <f>Tyran!D202</f>
        <v>19.409836065573771</v>
      </c>
      <c r="K205" s="2">
        <f>Fardo!D202</f>
        <v>15.704918032786885</v>
      </c>
      <c r="L205" s="2">
        <f>Entworpe!D202</f>
        <v>12.5</v>
      </c>
      <c r="M205">
        <f t="shared" si="5"/>
        <v>72</v>
      </c>
    </row>
    <row r="206" spans="1:13" x14ac:dyDescent="0.2">
      <c r="A206">
        <v>202</v>
      </c>
      <c r="B206">
        <f>Calopeia!B203</f>
        <v>78</v>
      </c>
      <c r="C206">
        <f>Sorange!B203</f>
        <v>0</v>
      </c>
      <c r="D206">
        <f>Tyran!B203</f>
        <v>0</v>
      </c>
      <c r="E206">
        <f>Fardo!B203</f>
        <v>0</v>
      </c>
      <c r="F206" s="2">
        <f>Entworpe!B203</f>
        <v>0</v>
      </c>
      <c r="G206">
        <v>932</v>
      </c>
      <c r="H206" s="2">
        <f>Calopeia!F203</f>
        <v>67.906594503598825</v>
      </c>
      <c r="I206" s="2">
        <f>Sorange!E203</f>
        <v>44.825848064978501</v>
      </c>
      <c r="J206" s="2">
        <f>Tyran!D203</f>
        <v>19.409836065573771</v>
      </c>
      <c r="K206" s="2">
        <f>Fardo!D203</f>
        <v>15.704918032786885</v>
      </c>
      <c r="L206" s="2">
        <f>Entworpe!D203</f>
        <v>12.5</v>
      </c>
      <c r="M206">
        <f t="shared" si="5"/>
        <v>78</v>
      </c>
    </row>
    <row r="207" spans="1:13" x14ac:dyDescent="0.2">
      <c r="A207">
        <v>203</v>
      </c>
      <c r="B207">
        <f>Calopeia!B204</f>
        <v>62</v>
      </c>
      <c r="C207">
        <f>Sorange!B204</f>
        <v>0</v>
      </c>
      <c r="D207">
        <f>Tyran!B204</f>
        <v>0</v>
      </c>
      <c r="E207">
        <f>Fardo!B204</f>
        <v>0</v>
      </c>
      <c r="F207" s="2">
        <f>Entworpe!B204</f>
        <v>0</v>
      </c>
      <c r="G207">
        <v>933</v>
      </c>
      <c r="H207" s="2">
        <f>Calopeia!F204</f>
        <v>67.906594503598825</v>
      </c>
      <c r="I207" s="2">
        <f>Sorange!E204</f>
        <v>44.978499761108452</v>
      </c>
      <c r="J207" s="2">
        <f>Tyran!D204</f>
        <v>19.409836065573771</v>
      </c>
      <c r="K207" s="2">
        <f>Fardo!D204</f>
        <v>15.704918032786885</v>
      </c>
      <c r="L207" s="2">
        <f>Entworpe!D204</f>
        <v>12.5</v>
      </c>
      <c r="M207">
        <f t="shared" si="5"/>
        <v>62</v>
      </c>
    </row>
    <row r="208" spans="1:13" x14ac:dyDescent="0.2">
      <c r="A208">
        <v>204</v>
      </c>
      <c r="B208">
        <f>Calopeia!B205</f>
        <v>84</v>
      </c>
      <c r="C208">
        <f>Sorange!B205</f>
        <v>0</v>
      </c>
      <c r="D208">
        <f>Tyran!B205</f>
        <v>0</v>
      </c>
      <c r="E208">
        <f>Fardo!B205</f>
        <v>0</v>
      </c>
      <c r="F208" s="2">
        <f>Entworpe!B205</f>
        <v>0</v>
      </c>
      <c r="G208">
        <v>934</v>
      </c>
      <c r="H208" s="2">
        <f>Calopeia!F205</f>
        <v>67.906594503598825</v>
      </c>
      <c r="I208" s="2">
        <f>Sorange!E205</f>
        <v>45.131151457238417</v>
      </c>
      <c r="J208" s="2">
        <f>Tyran!D205</f>
        <v>19.409836065573771</v>
      </c>
      <c r="K208" s="2">
        <f>Fardo!D205</f>
        <v>15.704918032786885</v>
      </c>
      <c r="L208" s="2">
        <f>Entworpe!D205</f>
        <v>12.5</v>
      </c>
      <c r="M208">
        <f t="shared" si="5"/>
        <v>84</v>
      </c>
    </row>
    <row r="209" spans="1:13" x14ac:dyDescent="0.2">
      <c r="A209">
        <v>205</v>
      </c>
      <c r="B209">
        <f>Calopeia!B206</f>
        <v>81</v>
      </c>
      <c r="C209">
        <f>Sorange!B206</f>
        <v>0</v>
      </c>
      <c r="D209">
        <f>Tyran!B206</f>
        <v>0</v>
      </c>
      <c r="E209">
        <f>Fardo!B206</f>
        <v>0</v>
      </c>
      <c r="F209" s="2">
        <f>Entworpe!B206</f>
        <v>0</v>
      </c>
      <c r="G209">
        <v>935</v>
      </c>
      <c r="H209" s="2">
        <f>Calopeia!F206</f>
        <v>67.906594503598825</v>
      </c>
      <c r="I209" s="2">
        <f>Sorange!E206</f>
        <v>45.283803153368368</v>
      </c>
      <c r="J209" s="2">
        <f>Tyran!D206</f>
        <v>19.409836065573771</v>
      </c>
      <c r="K209" s="2">
        <f>Fardo!D206</f>
        <v>15.704918032786885</v>
      </c>
      <c r="L209" s="2">
        <f>Entworpe!D206</f>
        <v>12.5</v>
      </c>
      <c r="M209">
        <f t="shared" si="5"/>
        <v>81</v>
      </c>
    </row>
    <row r="210" spans="1:13" x14ac:dyDescent="0.2">
      <c r="A210">
        <v>206</v>
      </c>
      <c r="B210">
        <f>Calopeia!B207</f>
        <v>67</v>
      </c>
      <c r="C210">
        <f>Sorange!B207</f>
        <v>0</v>
      </c>
      <c r="D210">
        <f>Tyran!B207</f>
        <v>0</v>
      </c>
      <c r="E210">
        <f>Fardo!B207</f>
        <v>0</v>
      </c>
      <c r="F210" s="2">
        <f>Entworpe!B207</f>
        <v>0</v>
      </c>
      <c r="G210">
        <v>936</v>
      </c>
      <c r="H210" s="2">
        <f>Calopeia!F207</f>
        <v>67.906594503598825</v>
      </c>
      <c r="I210" s="2">
        <f>Sorange!E207</f>
        <v>45.436454849498332</v>
      </c>
      <c r="J210" s="2">
        <f>Tyran!D207</f>
        <v>19.409836065573771</v>
      </c>
      <c r="K210" s="2">
        <f>Fardo!D207</f>
        <v>15.704918032786885</v>
      </c>
      <c r="L210" s="2">
        <f>Entworpe!D207</f>
        <v>12.5</v>
      </c>
      <c r="M210">
        <f t="shared" si="5"/>
        <v>67</v>
      </c>
    </row>
    <row r="211" spans="1:13" x14ac:dyDescent="0.2">
      <c r="A211">
        <v>207</v>
      </c>
      <c r="B211">
        <f>Calopeia!B208</f>
        <v>92</v>
      </c>
      <c r="C211">
        <f>Sorange!B208</f>
        <v>0</v>
      </c>
      <c r="D211">
        <f>Tyran!B208</f>
        <v>0</v>
      </c>
      <c r="E211">
        <f>Fardo!B208</f>
        <v>0</v>
      </c>
      <c r="F211" s="2">
        <f>Entworpe!B208</f>
        <v>0</v>
      </c>
      <c r="G211">
        <v>937</v>
      </c>
      <c r="H211" s="2">
        <f>Calopeia!F208</f>
        <v>67.906594503598825</v>
      </c>
      <c r="I211" s="2">
        <f>Sorange!E208</f>
        <v>45.589106545628283</v>
      </c>
      <c r="J211" s="2">
        <f>Tyran!D208</f>
        <v>19.409836065573771</v>
      </c>
      <c r="K211" s="2">
        <f>Fardo!D208</f>
        <v>15.704918032786885</v>
      </c>
      <c r="L211" s="2">
        <f>Entworpe!D208</f>
        <v>12.5</v>
      </c>
      <c r="M211">
        <f t="shared" si="5"/>
        <v>92</v>
      </c>
    </row>
    <row r="212" spans="1:13" x14ac:dyDescent="0.2">
      <c r="A212">
        <v>208</v>
      </c>
      <c r="B212">
        <f>Calopeia!B209</f>
        <v>110</v>
      </c>
      <c r="C212">
        <f>Sorange!B209</f>
        <v>0</v>
      </c>
      <c r="D212">
        <f>Tyran!B209</f>
        <v>0</v>
      </c>
      <c r="E212">
        <f>Fardo!B209</f>
        <v>0</v>
      </c>
      <c r="F212" s="2">
        <f>Entworpe!B209</f>
        <v>0</v>
      </c>
      <c r="G212">
        <v>938</v>
      </c>
      <c r="H212" s="2">
        <f>Calopeia!F209</f>
        <v>67.906594503598825</v>
      </c>
      <c r="I212" s="2">
        <f>Sorange!E209</f>
        <v>45.741758241758234</v>
      </c>
      <c r="J212" s="2">
        <f>Tyran!D209</f>
        <v>19.409836065573771</v>
      </c>
      <c r="K212" s="2">
        <f>Fardo!D209</f>
        <v>15.704918032786885</v>
      </c>
      <c r="L212" s="2">
        <f>Entworpe!D209</f>
        <v>12.5</v>
      </c>
      <c r="M212">
        <f t="shared" si="5"/>
        <v>110</v>
      </c>
    </row>
    <row r="213" spans="1:13" x14ac:dyDescent="0.2">
      <c r="A213">
        <v>209</v>
      </c>
      <c r="B213">
        <f>Calopeia!B210</f>
        <v>41</v>
      </c>
      <c r="C213">
        <f>Sorange!B210</f>
        <v>0</v>
      </c>
      <c r="D213">
        <f>Tyran!B210</f>
        <v>0</v>
      </c>
      <c r="E213">
        <f>Fardo!B210</f>
        <v>0</v>
      </c>
      <c r="F213" s="2">
        <f>Entworpe!B210</f>
        <v>0</v>
      </c>
      <c r="G213">
        <v>939</v>
      </c>
      <c r="H213" s="2">
        <f>Calopeia!F210</f>
        <v>67.906594503598825</v>
      </c>
      <c r="I213" s="2">
        <f>Sorange!E210</f>
        <v>45.894409937888199</v>
      </c>
      <c r="J213" s="2">
        <f>Tyran!D210</f>
        <v>19.409836065573771</v>
      </c>
      <c r="K213" s="2">
        <f>Fardo!D210</f>
        <v>15.704918032786885</v>
      </c>
      <c r="L213" s="2">
        <f>Entworpe!D210</f>
        <v>12.5</v>
      </c>
      <c r="M213">
        <f t="shared" si="5"/>
        <v>41</v>
      </c>
    </row>
    <row r="214" spans="1:13" x14ac:dyDescent="0.2">
      <c r="A214">
        <v>210</v>
      </c>
      <c r="B214">
        <f>Calopeia!B211</f>
        <v>57</v>
      </c>
      <c r="C214">
        <f>Sorange!B211</f>
        <v>0</v>
      </c>
      <c r="D214">
        <f>Tyran!B211</f>
        <v>0</v>
      </c>
      <c r="E214">
        <f>Fardo!B211</f>
        <v>0</v>
      </c>
      <c r="F214" s="2">
        <f>Entworpe!B211</f>
        <v>0</v>
      </c>
      <c r="G214">
        <v>940</v>
      </c>
      <c r="H214" s="2">
        <f>Calopeia!F211</f>
        <v>67.906594503598825</v>
      </c>
      <c r="I214" s="2">
        <f>Sorange!E211</f>
        <v>46.047061634018149</v>
      </c>
      <c r="J214" s="2">
        <f>Tyran!D211</f>
        <v>19.409836065573771</v>
      </c>
      <c r="K214" s="2">
        <f>Fardo!D211</f>
        <v>15.704918032786885</v>
      </c>
      <c r="L214" s="2">
        <f>Entworpe!D211</f>
        <v>12.5</v>
      </c>
      <c r="M214">
        <f t="shared" si="5"/>
        <v>57</v>
      </c>
    </row>
    <row r="215" spans="1:13" x14ac:dyDescent="0.2">
      <c r="A215">
        <v>211</v>
      </c>
      <c r="B215">
        <f>Calopeia!B212</f>
        <v>52</v>
      </c>
      <c r="C215">
        <f>Sorange!B212</f>
        <v>0</v>
      </c>
      <c r="D215">
        <f>Tyran!B212</f>
        <v>0</v>
      </c>
      <c r="E215">
        <f>Fardo!B212</f>
        <v>0</v>
      </c>
      <c r="F215" s="2">
        <f>Entworpe!B212</f>
        <v>0</v>
      </c>
      <c r="G215">
        <v>941</v>
      </c>
      <c r="H215" s="2">
        <f>Calopeia!F212</f>
        <v>67.906594503598825</v>
      </c>
      <c r="I215" s="2">
        <f>Sorange!E212</f>
        <v>46.199713330148114</v>
      </c>
      <c r="J215" s="2">
        <f>Tyran!D212</f>
        <v>19.409836065573771</v>
      </c>
      <c r="K215" s="2">
        <f>Fardo!D212</f>
        <v>15.704918032786885</v>
      </c>
      <c r="L215" s="2">
        <f>Entworpe!D212</f>
        <v>12.5</v>
      </c>
      <c r="M215">
        <f t="shared" si="5"/>
        <v>52</v>
      </c>
    </row>
    <row r="216" spans="1:13" x14ac:dyDescent="0.2">
      <c r="A216">
        <v>212</v>
      </c>
      <c r="B216">
        <f>Calopeia!B213</f>
        <v>96</v>
      </c>
      <c r="C216">
        <f>Sorange!B213</f>
        <v>0</v>
      </c>
      <c r="D216">
        <f>Tyran!B213</f>
        <v>0</v>
      </c>
      <c r="E216">
        <f>Fardo!B213</f>
        <v>0</v>
      </c>
      <c r="F216" s="2">
        <f>Entworpe!B213</f>
        <v>0</v>
      </c>
      <c r="G216">
        <v>942</v>
      </c>
      <c r="H216" s="2">
        <f>Calopeia!F213</f>
        <v>67.906594503598825</v>
      </c>
      <c r="I216" s="2">
        <f>Sorange!E213</f>
        <v>46.352365026278065</v>
      </c>
      <c r="J216" s="2">
        <f>Tyran!D213</f>
        <v>19.409836065573771</v>
      </c>
      <c r="K216" s="2">
        <f>Fardo!D213</f>
        <v>15.704918032786885</v>
      </c>
      <c r="L216" s="2">
        <f>Entworpe!D213</f>
        <v>12.5</v>
      </c>
      <c r="M216">
        <f t="shared" si="5"/>
        <v>96</v>
      </c>
    </row>
    <row r="217" spans="1:13" x14ac:dyDescent="0.2">
      <c r="A217">
        <v>213</v>
      </c>
      <c r="B217">
        <f>Calopeia!B214</f>
        <v>65</v>
      </c>
      <c r="C217">
        <f>Sorange!B214</f>
        <v>0</v>
      </c>
      <c r="D217">
        <f>Tyran!B214</f>
        <v>0</v>
      </c>
      <c r="E217">
        <f>Fardo!B214</f>
        <v>0</v>
      </c>
      <c r="F217" s="2">
        <f>Entworpe!B214</f>
        <v>0</v>
      </c>
      <c r="G217">
        <v>943</v>
      </c>
      <c r="H217" s="2">
        <f>Calopeia!F214</f>
        <v>67.906594503598825</v>
      </c>
      <c r="I217" s="2">
        <f>Sorange!E214</f>
        <v>46.50501672240803</v>
      </c>
      <c r="J217" s="2">
        <f>Tyran!D214</f>
        <v>19.409836065573771</v>
      </c>
      <c r="K217" s="2">
        <f>Fardo!D214</f>
        <v>15.704918032786885</v>
      </c>
      <c r="L217" s="2">
        <f>Entworpe!D214</f>
        <v>12.5</v>
      </c>
      <c r="M217">
        <f t="shared" si="5"/>
        <v>65</v>
      </c>
    </row>
    <row r="218" spans="1:13" x14ac:dyDescent="0.2">
      <c r="A218">
        <v>214</v>
      </c>
      <c r="B218">
        <f>Calopeia!B215</f>
        <v>88</v>
      </c>
      <c r="C218">
        <f>Sorange!B215</f>
        <v>0</v>
      </c>
      <c r="D218">
        <f>Tyran!B215</f>
        <v>0</v>
      </c>
      <c r="E218">
        <f>Fardo!B215</f>
        <v>0</v>
      </c>
      <c r="F218" s="2">
        <f>Entworpe!B215</f>
        <v>0</v>
      </c>
      <c r="G218">
        <v>944</v>
      </c>
      <c r="H218" s="2">
        <f>Calopeia!F215</f>
        <v>67.906594503598825</v>
      </c>
      <c r="I218" s="2">
        <f>Sorange!E215</f>
        <v>46.65766841853798</v>
      </c>
      <c r="J218" s="2">
        <f>Tyran!D215</f>
        <v>19.409836065573771</v>
      </c>
      <c r="K218" s="2">
        <f>Fardo!D215</f>
        <v>15.704918032786885</v>
      </c>
      <c r="L218" s="2">
        <f>Entworpe!D215</f>
        <v>12.5</v>
      </c>
      <c r="M218">
        <f t="shared" si="5"/>
        <v>88</v>
      </c>
    </row>
    <row r="219" spans="1:13" x14ac:dyDescent="0.2">
      <c r="A219">
        <v>215</v>
      </c>
      <c r="B219">
        <f>Calopeia!B216</f>
        <v>44</v>
      </c>
      <c r="C219">
        <f>Sorange!B216</f>
        <v>0</v>
      </c>
      <c r="D219">
        <f>Tyran!B216</f>
        <v>0</v>
      </c>
      <c r="E219">
        <f>Fardo!B216</f>
        <v>0</v>
      </c>
      <c r="F219" s="2">
        <f>Entworpe!B216</f>
        <v>0</v>
      </c>
      <c r="G219">
        <v>945</v>
      </c>
      <c r="H219" s="2">
        <f>Calopeia!F216</f>
        <v>67.906594503598825</v>
      </c>
      <c r="I219" s="2">
        <f>Sorange!E216</f>
        <v>46.810320114667945</v>
      </c>
      <c r="J219" s="2">
        <f>Tyran!D216</f>
        <v>19.409836065573771</v>
      </c>
      <c r="K219" s="2">
        <f>Fardo!D216</f>
        <v>15.704918032786885</v>
      </c>
      <c r="L219" s="2">
        <f>Entworpe!D216</f>
        <v>12.5</v>
      </c>
      <c r="M219">
        <f t="shared" si="5"/>
        <v>44</v>
      </c>
    </row>
    <row r="220" spans="1:13" x14ac:dyDescent="0.2">
      <c r="A220">
        <v>216</v>
      </c>
      <c r="B220">
        <f>Calopeia!B217</f>
        <v>65</v>
      </c>
      <c r="C220">
        <f>Sorange!B217</f>
        <v>0</v>
      </c>
      <c r="D220">
        <f>Tyran!B217</f>
        <v>0</v>
      </c>
      <c r="E220">
        <f>Fardo!B217</f>
        <v>0</v>
      </c>
      <c r="F220" s="2">
        <f>Entworpe!B217</f>
        <v>0</v>
      </c>
      <c r="G220">
        <v>946</v>
      </c>
      <c r="H220" s="2">
        <f>Calopeia!F217</f>
        <v>67.906594503598825</v>
      </c>
      <c r="I220" s="2">
        <f>Sorange!E217</f>
        <v>46.962971810797896</v>
      </c>
      <c r="J220" s="2">
        <f>Tyran!D217</f>
        <v>19.409836065573771</v>
      </c>
      <c r="K220" s="2">
        <f>Fardo!D217</f>
        <v>15.704918032786885</v>
      </c>
      <c r="L220" s="2">
        <f>Entworpe!D217</f>
        <v>12.5</v>
      </c>
      <c r="M220">
        <f t="shared" si="5"/>
        <v>65</v>
      </c>
    </row>
    <row r="221" spans="1:13" x14ac:dyDescent="0.2">
      <c r="A221">
        <v>217</v>
      </c>
      <c r="B221">
        <f>Calopeia!B218</f>
        <v>76</v>
      </c>
      <c r="C221">
        <f>Sorange!B218</f>
        <v>0</v>
      </c>
      <c r="D221">
        <f>Tyran!B218</f>
        <v>0</v>
      </c>
      <c r="E221">
        <f>Fardo!B218</f>
        <v>0</v>
      </c>
      <c r="F221" s="2">
        <f>Entworpe!B218</f>
        <v>0</v>
      </c>
      <c r="G221">
        <v>947</v>
      </c>
      <c r="H221" s="2">
        <f>Calopeia!F218</f>
        <v>67.906594503598825</v>
      </c>
      <c r="I221" s="2">
        <f>Sorange!E218</f>
        <v>47.115623506927847</v>
      </c>
      <c r="J221" s="2">
        <f>Tyran!D218</f>
        <v>19.409836065573771</v>
      </c>
      <c r="K221" s="2">
        <f>Fardo!D218</f>
        <v>15.704918032786885</v>
      </c>
      <c r="L221" s="2">
        <f>Entworpe!D218</f>
        <v>12.5</v>
      </c>
      <c r="M221">
        <f t="shared" si="5"/>
        <v>76</v>
      </c>
    </row>
    <row r="222" spans="1:13" x14ac:dyDescent="0.2">
      <c r="A222">
        <v>218</v>
      </c>
      <c r="B222">
        <f>Calopeia!B219</f>
        <v>73</v>
      </c>
      <c r="C222">
        <f>Sorange!B219</f>
        <v>0</v>
      </c>
      <c r="D222">
        <f>Tyran!B219</f>
        <v>0</v>
      </c>
      <c r="E222">
        <f>Fardo!B219</f>
        <v>0</v>
      </c>
      <c r="F222" s="2">
        <f>Entworpe!B219</f>
        <v>0</v>
      </c>
      <c r="G222">
        <v>948</v>
      </c>
      <c r="H222" s="2">
        <f>Calopeia!F219</f>
        <v>67.906594503598825</v>
      </c>
      <c r="I222" s="2">
        <f>Sorange!E219</f>
        <v>47.268275203057811</v>
      </c>
      <c r="J222" s="2">
        <f>Tyran!D219</f>
        <v>19.409836065573771</v>
      </c>
      <c r="K222" s="2">
        <f>Fardo!D219</f>
        <v>15.704918032786885</v>
      </c>
      <c r="L222" s="2">
        <f>Entworpe!D219</f>
        <v>12.5</v>
      </c>
      <c r="M222">
        <f t="shared" si="5"/>
        <v>73</v>
      </c>
    </row>
    <row r="223" spans="1:13" x14ac:dyDescent="0.2">
      <c r="A223">
        <v>219</v>
      </c>
      <c r="B223">
        <f>Calopeia!B220</f>
        <v>64</v>
      </c>
      <c r="C223">
        <f>Sorange!B220</f>
        <v>0</v>
      </c>
      <c r="D223">
        <f>Tyran!B220</f>
        <v>0</v>
      </c>
      <c r="E223">
        <f>Fardo!B220</f>
        <v>0</v>
      </c>
      <c r="F223" s="2">
        <f>Entworpe!B220</f>
        <v>0</v>
      </c>
      <c r="G223">
        <v>949</v>
      </c>
      <c r="H223" s="2">
        <f>Calopeia!F220</f>
        <v>67.906594503598825</v>
      </c>
      <c r="I223" s="2">
        <f>Sorange!E220</f>
        <v>47.420926899187762</v>
      </c>
      <c r="J223" s="2">
        <f>Tyran!D220</f>
        <v>19.409836065573771</v>
      </c>
      <c r="K223" s="2">
        <f>Fardo!D220</f>
        <v>15.704918032786885</v>
      </c>
      <c r="L223" s="2">
        <f>Entworpe!D220</f>
        <v>12.5</v>
      </c>
      <c r="M223">
        <f t="shared" si="5"/>
        <v>64</v>
      </c>
    </row>
    <row r="224" spans="1:13" x14ac:dyDescent="0.2">
      <c r="A224">
        <v>220</v>
      </c>
      <c r="B224">
        <f>Calopeia!B221</f>
        <v>40</v>
      </c>
      <c r="C224">
        <f>Sorange!B221</f>
        <v>0</v>
      </c>
      <c r="D224">
        <f>Tyran!B221</f>
        <v>0</v>
      </c>
      <c r="E224">
        <f>Fardo!B221</f>
        <v>0</v>
      </c>
      <c r="F224" s="2">
        <f>Entworpe!B221</f>
        <v>0</v>
      </c>
      <c r="G224">
        <v>950</v>
      </c>
      <c r="H224" s="2">
        <f>Calopeia!F221</f>
        <v>48.252086681863425</v>
      </c>
      <c r="I224" s="2">
        <f>Sorange!E221</f>
        <v>47.573578595317727</v>
      </c>
      <c r="J224" s="2">
        <f>Tyran!D221</f>
        <v>19.409836065573771</v>
      </c>
      <c r="K224" s="2">
        <f>Fardo!D221</f>
        <v>15.704918032786885</v>
      </c>
      <c r="L224" s="2">
        <f>Entworpe!D221</f>
        <v>12.5</v>
      </c>
      <c r="M224">
        <f t="shared" si="5"/>
        <v>40</v>
      </c>
    </row>
    <row r="225" spans="1:13" x14ac:dyDescent="0.2">
      <c r="A225">
        <v>221</v>
      </c>
      <c r="B225">
        <f>Calopeia!B222</f>
        <v>64</v>
      </c>
      <c r="C225">
        <f>Sorange!B222</f>
        <v>0</v>
      </c>
      <c r="D225">
        <f>Tyran!B222</f>
        <v>0</v>
      </c>
      <c r="E225">
        <f>Fardo!B222</f>
        <v>0</v>
      </c>
      <c r="F225" s="2">
        <f>Entworpe!B222</f>
        <v>0</v>
      </c>
      <c r="G225">
        <v>951</v>
      </c>
      <c r="H225" s="2">
        <f>Calopeia!F222</f>
        <v>48.252086681863425</v>
      </c>
      <c r="I225" s="2">
        <f>Sorange!E222</f>
        <v>47.726230291447678</v>
      </c>
      <c r="J225" s="2">
        <f>Tyran!D222</f>
        <v>19.409836065573771</v>
      </c>
      <c r="K225" s="2">
        <f>Fardo!D222</f>
        <v>15.704918032786885</v>
      </c>
      <c r="L225" s="2">
        <f>Entworpe!D222</f>
        <v>12.5</v>
      </c>
      <c r="M225">
        <f t="shared" si="5"/>
        <v>64</v>
      </c>
    </row>
    <row r="226" spans="1:13" x14ac:dyDescent="0.2">
      <c r="A226">
        <v>222</v>
      </c>
      <c r="B226">
        <f>Calopeia!B223</f>
        <v>56</v>
      </c>
      <c r="C226">
        <f>Sorange!B223</f>
        <v>0</v>
      </c>
      <c r="D226">
        <f>Tyran!B223</f>
        <v>0</v>
      </c>
      <c r="E226">
        <f>Fardo!B223</f>
        <v>0</v>
      </c>
      <c r="F226" s="2">
        <f>Entworpe!B223</f>
        <v>0</v>
      </c>
      <c r="G226">
        <v>952</v>
      </c>
      <c r="H226" s="2">
        <f>Calopeia!F223</f>
        <v>48.252086681863425</v>
      </c>
      <c r="I226" s="2">
        <f>Sorange!E223</f>
        <v>47.878881987577643</v>
      </c>
      <c r="J226" s="2">
        <f>Tyran!D223</f>
        <v>19.409836065573771</v>
      </c>
      <c r="K226" s="2">
        <f>Fardo!D223</f>
        <v>15.704918032786885</v>
      </c>
      <c r="L226" s="2">
        <f>Entworpe!D223</f>
        <v>12.5</v>
      </c>
      <c r="M226">
        <f t="shared" si="5"/>
        <v>56</v>
      </c>
    </row>
    <row r="227" spans="1:13" x14ac:dyDescent="0.2">
      <c r="A227">
        <v>223</v>
      </c>
      <c r="B227">
        <f>Calopeia!B224</f>
        <v>78</v>
      </c>
      <c r="C227">
        <f>Sorange!B224</f>
        <v>0</v>
      </c>
      <c r="D227">
        <f>Tyran!B224</f>
        <v>0</v>
      </c>
      <c r="E227">
        <f>Fardo!B224</f>
        <v>0</v>
      </c>
      <c r="F227" s="2">
        <f>Entworpe!B224</f>
        <v>0</v>
      </c>
      <c r="G227">
        <v>953</v>
      </c>
      <c r="H227" s="2">
        <f>Calopeia!F224</f>
        <v>48.252086681863425</v>
      </c>
      <c r="I227" s="2">
        <f>Sorange!E224</f>
        <v>48.031533683707593</v>
      </c>
      <c r="J227" s="2">
        <f>Tyran!D224</f>
        <v>19.409836065573771</v>
      </c>
      <c r="K227" s="2">
        <f>Fardo!D224</f>
        <v>15.704918032786885</v>
      </c>
      <c r="L227" s="2">
        <f>Entworpe!D224</f>
        <v>12.5</v>
      </c>
      <c r="M227">
        <f t="shared" si="5"/>
        <v>78</v>
      </c>
    </row>
    <row r="228" spans="1:13" x14ac:dyDescent="0.2">
      <c r="A228">
        <v>224</v>
      </c>
      <c r="B228">
        <f>Calopeia!B225</f>
        <v>43</v>
      </c>
      <c r="C228">
        <f>Sorange!B225</f>
        <v>0</v>
      </c>
      <c r="D228">
        <f>Tyran!B225</f>
        <v>0</v>
      </c>
      <c r="E228">
        <f>Fardo!B225</f>
        <v>0</v>
      </c>
      <c r="F228" s="2">
        <f>Entworpe!B225</f>
        <v>0</v>
      </c>
      <c r="G228">
        <v>954</v>
      </c>
      <c r="H228" s="2">
        <f>Calopeia!F225</f>
        <v>48.252086681863425</v>
      </c>
      <c r="I228" s="2">
        <f>Sorange!E225</f>
        <v>48.184185379837558</v>
      </c>
      <c r="J228" s="2">
        <f>Tyran!D225</f>
        <v>19.409836065573771</v>
      </c>
      <c r="K228" s="2">
        <f>Fardo!D225</f>
        <v>15.704918032786885</v>
      </c>
      <c r="L228" s="2">
        <f>Entworpe!D225</f>
        <v>12.5</v>
      </c>
      <c r="M228">
        <f t="shared" si="5"/>
        <v>43</v>
      </c>
    </row>
    <row r="229" spans="1:13" x14ac:dyDescent="0.2">
      <c r="A229">
        <v>225</v>
      </c>
      <c r="B229">
        <f>Calopeia!B226</f>
        <v>78</v>
      </c>
      <c r="C229">
        <f>Sorange!B226</f>
        <v>0</v>
      </c>
      <c r="D229">
        <f>Tyran!B226</f>
        <v>0</v>
      </c>
      <c r="E229">
        <f>Fardo!B226</f>
        <v>0</v>
      </c>
      <c r="F229" s="2">
        <f>Entworpe!B226</f>
        <v>0</v>
      </c>
      <c r="G229">
        <v>955</v>
      </c>
      <c r="H229" s="2">
        <f>Calopeia!F226</f>
        <v>48.252086681863425</v>
      </c>
      <c r="I229" s="2">
        <f>Sorange!E226</f>
        <v>48.336837075967509</v>
      </c>
      <c r="J229" s="2">
        <f>Tyran!D226</f>
        <v>19.409836065573771</v>
      </c>
      <c r="K229" s="2">
        <f>Fardo!D226</f>
        <v>15.704918032786885</v>
      </c>
      <c r="L229" s="2">
        <f>Entworpe!D226</f>
        <v>12.5</v>
      </c>
      <c r="M229">
        <f t="shared" si="5"/>
        <v>78</v>
      </c>
    </row>
    <row r="230" spans="1:13" x14ac:dyDescent="0.2">
      <c r="A230">
        <v>226</v>
      </c>
      <c r="B230">
        <f>Calopeia!B227</f>
        <v>64</v>
      </c>
      <c r="C230">
        <f>Sorange!B227</f>
        <v>0</v>
      </c>
      <c r="D230">
        <f>Tyran!B227</f>
        <v>0</v>
      </c>
      <c r="E230">
        <f>Fardo!B227</f>
        <v>0</v>
      </c>
      <c r="F230" s="2">
        <f>Entworpe!B227</f>
        <v>0</v>
      </c>
      <c r="G230">
        <v>956</v>
      </c>
      <c r="H230" s="2">
        <f>Calopeia!F227</f>
        <v>48.252086681863425</v>
      </c>
      <c r="I230" s="2">
        <f>Sorange!E227</f>
        <v>48.489488772097459</v>
      </c>
      <c r="J230" s="2">
        <f>Tyran!D227</f>
        <v>19.409836065573771</v>
      </c>
      <c r="K230" s="2">
        <f>Fardo!D227</f>
        <v>15.704918032786885</v>
      </c>
      <c r="L230" s="2">
        <f>Entworpe!D227</f>
        <v>12.5</v>
      </c>
      <c r="M230">
        <f t="shared" si="5"/>
        <v>64</v>
      </c>
    </row>
    <row r="231" spans="1:13" x14ac:dyDescent="0.2">
      <c r="A231">
        <v>227</v>
      </c>
      <c r="B231">
        <f>Calopeia!B228</f>
        <v>67</v>
      </c>
      <c r="C231">
        <f>Sorange!B228</f>
        <v>0</v>
      </c>
      <c r="D231">
        <f>Tyran!B228</f>
        <v>0</v>
      </c>
      <c r="E231">
        <f>Fardo!B228</f>
        <v>0</v>
      </c>
      <c r="F231" s="2">
        <f>Entworpe!B228</f>
        <v>0</v>
      </c>
      <c r="G231">
        <v>957</v>
      </c>
      <c r="H231" s="2">
        <f>Calopeia!F228</f>
        <v>48.252086681863425</v>
      </c>
      <c r="I231" s="2">
        <f>Sorange!E228</f>
        <v>48.642140468227424</v>
      </c>
      <c r="J231" s="2">
        <f>Tyran!D228</f>
        <v>19.409836065573771</v>
      </c>
      <c r="K231" s="2">
        <f>Fardo!D228</f>
        <v>15.704918032786885</v>
      </c>
      <c r="L231" s="2">
        <f>Entworpe!D228</f>
        <v>12.5</v>
      </c>
      <c r="M231">
        <f t="shared" si="5"/>
        <v>67</v>
      </c>
    </row>
    <row r="232" spans="1:13" x14ac:dyDescent="0.2">
      <c r="A232">
        <v>228</v>
      </c>
      <c r="B232">
        <f>Calopeia!B229</f>
        <v>80</v>
      </c>
      <c r="C232">
        <f>Sorange!B229</f>
        <v>0</v>
      </c>
      <c r="D232">
        <f>Tyran!B229</f>
        <v>0</v>
      </c>
      <c r="E232">
        <f>Fardo!B229</f>
        <v>0</v>
      </c>
      <c r="F232" s="2">
        <f>Entworpe!B229</f>
        <v>0</v>
      </c>
      <c r="G232">
        <v>958</v>
      </c>
      <c r="H232" s="2">
        <f>Calopeia!F229</f>
        <v>48.252086681863425</v>
      </c>
      <c r="I232" s="2">
        <f>Sorange!E229</f>
        <v>48.794792164357375</v>
      </c>
      <c r="J232" s="2">
        <f>Tyran!D229</f>
        <v>19.409836065573771</v>
      </c>
      <c r="K232" s="2">
        <f>Fardo!D229</f>
        <v>15.704918032786885</v>
      </c>
      <c r="L232" s="2">
        <f>Entworpe!D229</f>
        <v>12.5</v>
      </c>
      <c r="M232">
        <f t="shared" si="5"/>
        <v>80</v>
      </c>
    </row>
    <row r="233" spans="1:13" x14ac:dyDescent="0.2">
      <c r="A233">
        <v>229</v>
      </c>
      <c r="B233">
        <f>Calopeia!B230</f>
        <v>40</v>
      </c>
      <c r="C233">
        <f>Sorange!B230</f>
        <v>0</v>
      </c>
      <c r="D233">
        <f>Tyran!B230</f>
        <v>0</v>
      </c>
      <c r="E233">
        <f>Fardo!B230</f>
        <v>0</v>
      </c>
      <c r="F233" s="2">
        <f>Entworpe!B230</f>
        <v>0</v>
      </c>
      <c r="G233">
        <v>959</v>
      </c>
      <c r="H233" s="2">
        <f>Calopeia!F230</f>
        <v>48.252086681863425</v>
      </c>
      <c r="I233" s="2">
        <f>Sorange!E230</f>
        <v>48.94744386048734</v>
      </c>
      <c r="J233" s="2">
        <f>Tyran!D230</f>
        <v>19.409836065573771</v>
      </c>
      <c r="K233" s="2">
        <f>Fardo!D230</f>
        <v>15.704918032786885</v>
      </c>
      <c r="L233" s="2">
        <f>Entworpe!D230</f>
        <v>12.5</v>
      </c>
      <c r="M233">
        <f t="shared" si="5"/>
        <v>40</v>
      </c>
    </row>
    <row r="234" spans="1:13" x14ac:dyDescent="0.2">
      <c r="A234">
        <v>230</v>
      </c>
      <c r="B234">
        <f>Calopeia!B231</f>
        <v>71</v>
      </c>
      <c r="C234">
        <f>Sorange!B231</f>
        <v>0</v>
      </c>
      <c r="D234">
        <f>Tyran!B231</f>
        <v>0</v>
      </c>
      <c r="E234">
        <f>Fardo!B231</f>
        <v>0</v>
      </c>
      <c r="F234" s="2">
        <f>Entworpe!B231</f>
        <v>0</v>
      </c>
      <c r="G234">
        <v>960</v>
      </c>
      <c r="H234" s="2">
        <f>Calopeia!F231</f>
        <v>48.252086681863425</v>
      </c>
      <c r="I234" s="2">
        <f>Sorange!E231</f>
        <v>49.100095556617291</v>
      </c>
      <c r="J234" s="2">
        <f>Tyran!D231</f>
        <v>19.409836065573771</v>
      </c>
      <c r="K234" s="2">
        <f>Fardo!D231</f>
        <v>15.704918032786885</v>
      </c>
      <c r="L234" s="2">
        <f>Entworpe!D231</f>
        <v>12.5</v>
      </c>
      <c r="M234">
        <f t="shared" si="5"/>
        <v>71</v>
      </c>
    </row>
    <row r="235" spans="1:13" x14ac:dyDescent="0.2">
      <c r="A235">
        <v>231</v>
      </c>
      <c r="B235">
        <f>Calopeia!B232</f>
        <v>84</v>
      </c>
      <c r="C235">
        <f>Sorange!B232</f>
        <v>0</v>
      </c>
      <c r="D235">
        <f>Tyran!B232</f>
        <v>0</v>
      </c>
      <c r="E235">
        <f>Fardo!B232</f>
        <v>0</v>
      </c>
      <c r="F235" s="2">
        <f>Entworpe!B232</f>
        <v>0</v>
      </c>
      <c r="G235">
        <v>961</v>
      </c>
      <c r="H235" s="2">
        <f>Calopeia!F232</f>
        <v>48.252086681863425</v>
      </c>
      <c r="I235" s="2">
        <f>Sorange!E232</f>
        <v>49.252747252747255</v>
      </c>
      <c r="J235" s="2">
        <f>Tyran!D232</f>
        <v>19.409836065573771</v>
      </c>
      <c r="K235" s="2">
        <f>Fardo!D232</f>
        <v>15.704918032786885</v>
      </c>
      <c r="L235" s="2">
        <f>Entworpe!D232</f>
        <v>12.5</v>
      </c>
      <c r="M235">
        <f t="shared" si="5"/>
        <v>84</v>
      </c>
    </row>
    <row r="236" spans="1:13" x14ac:dyDescent="0.2">
      <c r="A236">
        <v>232</v>
      </c>
      <c r="B236">
        <f>Calopeia!B233</f>
        <v>29</v>
      </c>
      <c r="C236">
        <f>Sorange!B233</f>
        <v>0</v>
      </c>
      <c r="D236">
        <f>Tyran!B233</f>
        <v>0</v>
      </c>
      <c r="E236">
        <f>Fardo!B233</f>
        <v>0</v>
      </c>
      <c r="F236" s="2">
        <f>Entworpe!B233</f>
        <v>0</v>
      </c>
      <c r="G236">
        <v>962</v>
      </c>
      <c r="H236" s="2">
        <f>Calopeia!F233</f>
        <v>48.252086681863425</v>
      </c>
      <c r="I236" s="2">
        <f>Sorange!E233</f>
        <v>49.405398948877206</v>
      </c>
      <c r="J236" s="2">
        <f>Tyran!D233</f>
        <v>19.409836065573771</v>
      </c>
      <c r="K236" s="2">
        <f>Fardo!D233</f>
        <v>15.704918032786885</v>
      </c>
      <c r="L236" s="2">
        <f>Entworpe!D233</f>
        <v>12.5</v>
      </c>
      <c r="M236">
        <f t="shared" si="5"/>
        <v>29</v>
      </c>
    </row>
    <row r="237" spans="1:13" x14ac:dyDescent="0.2">
      <c r="A237">
        <v>233</v>
      </c>
      <c r="B237">
        <f>Calopeia!B234</f>
        <v>53</v>
      </c>
      <c r="C237">
        <f>Sorange!B234</f>
        <v>0</v>
      </c>
      <c r="D237">
        <f>Tyran!B234</f>
        <v>0</v>
      </c>
      <c r="E237">
        <f>Fardo!B234</f>
        <v>0</v>
      </c>
      <c r="F237" s="2">
        <f>Entworpe!B234</f>
        <v>0</v>
      </c>
      <c r="G237">
        <v>963</v>
      </c>
      <c r="H237" s="2">
        <f>Calopeia!F234</f>
        <v>48.252086681863425</v>
      </c>
      <c r="I237" s="2">
        <f>Sorange!E234</f>
        <v>49.558050645007171</v>
      </c>
      <c r="J237" s="2">
        <f>Tyran!D234</f>
        <v>19.409836065573771</v>
      </c>
      <c r="K237" s="2">
        <f>Fardo!D234</f>
        <v>15.704918032786885</v>
      </c>
      <c r="L237" s="2">
        <f>Entworpe!D234</f>
        <v>12.5</v>
      </c>
      <c r="M237">
        <f t="shared" si="5"/>
        <v>53</v>
      </c>
    </row>
    <row r="238" spans="1:13" x14ac:dyDescent="0.2">
      <c r="A238">
        <v>234</v>
      </c>
      <c r="B238">
        <f>Calopeia!B235</f>
        <v>72</v>
      </c>
      <c r="C238">
        <f>Sorange!B235</f>
        <v>0</v>
      </c>
      <c r="D238">
        <f>Tyran!B235</f>
        <v>0</v>
      </c>
      <c r="E238">
        <f>Fardo!B235</f>
        <v>0</v>
      </c>
      <c r="F238" s="2">
        <f>Entworpe!B235</f>
        <v>0</v>
      </c>
      <c r="G238">
        <v>964</v>
      </c>
      <c r="H238" s="2">
        <f>Calopeia!F235</f>
        <v>48.252086681863425</v>
      </c>
      <c r="I238" s="2">
        <f>Sorange!E235</f>
        <v>49.710702341137122</v>
      </c>
      <c r="J238" s="2">
        <f>Tyran!D235</f>
        <v>19.409836065573771</v>
      </c>
      <c r="K238" s="2">
        <f>Fardo!D235</f>
        <v>15.704918032786885</v>
      </c>
      <c r="L238" s="2">
        <f>Entworpe!D235</f>
        <v>12.5</v>
      </c>
      <c r="M238">
        <f t="shared" si="5"/>
        <v>72</v>
      </c>
    </row>
    <row r="239" spans="1:13" x14ac:dyDescent="0.2">
      <c r="A239">
        <v>235</v>
      </c>
      <c r="B239">
        <f>Calopeia!B236</f>
        <v>39</v>
      </c>
      <c r="C239">
        <f>Sorange!B236</f>
        <v>0</v>
      </c>
      <c r="D239">
        <f>Tyran!B236</f>
        <v>0</v>
      </c>
      <c r="E239">
        <f>Fardo!B236</f>
        <v>0</v>
      </c>
      <c r="F239" s="2">
        <f>Entworpe!B236</f>
        <v>0</v>
      </c>
      <c r="G239">
        <v>965</v>
      </c>
      <c r="H239" s="2">
        <f>Calopeia!F236</f>
        <v>48.252086681863425</v>
      </c>
      <c r="I239" s="2">
        <f>Sorange!E236</f>
        <v>49.863354037267072</v>
      </c>
      <c r="J239" s="2">
        <f>Tyran!D236</f>
        <v>19.409836065573771</v>
      </c>
      <c r="K239" s="2">
        <f>Fardo!D236</f>
        <v>15.704918032786885</v>
      </c>
      <c r="L239" s="2">
        <f>Entworpe!D236</f>
        <v>12.5</v>
      </c>
      <c r="M239">
        <f t="shared" si="5"/>
        <v>39</v>
      </c>
    </row>
    <row r="240" spans="1:13" x14ac:dyDescent="0.2">
      <c r="A240">
        <v>236</v>
      </c>
      <c r="B240">
        <f>Calopeia!B237</f>
        <v>63</v>
      </c>
      <c r="C240">
        <f>Sorange!B237</f>
        <v>0</v>
      </c>
      <c r="D240">
        <f>Tyran!B237</f>
        <v>0</v>
      </c>
      <c r="E240">
        <f>Fardo!B237</f>
        <v>0</v>
      </c>
      <c r="F240" s="2">
        <f>Entworpe!B237</f>
        <v>0</v>
      </c>
      <c r="G240">
        <v>966</v>
      </c>
      <c r="H240" s="2">
        <f>Calopeia!F237</f>
        <v>48.252086681863425</v>
      </c>
      <c r="I240" s="2">
        <f>Sorange!E237</f>
        <v>50.016005733397037</v>
      </c>
      <c r="J240" s="2">
        <f>Tyran!D237</f>
        <v>19.409836065573771</v>
      </c>
      <c r="K240" s="2">
        <f>Fardo!D237</f>
        <v>15.704918032786885</v>
      </c>
      <c r="L240" s="2">
        <f>Entworpe!D237</f>
        <v>12.5</v>
      </c>
      <c r="M240">
        <f t="shared" si="5"/>
        <v>63</v>
      </c>
    </row>
    <row r="241" spans="1:13" x14ac:dyDescent="0.2">
      <c r="A241">
        <v>237</v>
      </c>
      <c r="B241">
        <f>Calopeia!B238</f>
        <v>83</v>
      </c>
      <c r="C241">
        <f>Sorange!B238</f>
        <v>0</v>
      </c>
      <c r="D241">
        <f>Tyran!B238</f>
        <v>0</v>
      </c>
      <c r="E241">
        <f>Fardo!B238</f>
        <v>0</v>
      </c>
      <c r="F241" s="2">
        <f>Entworpe!B238</f>
        <v>0</v>
      </c>
      <c r="G241">
        <v>967</v>
      </c>
      <c r="H241" s="2">
        <f>Calopeia!F238</f>
        <v>48.252086681863425</v>
      </c>
      <c r="I241" s="2">
        <f>Sorange!E238</f>
        <v>50.168657429526988</v>
      </c>
      <c r="J241" s="2">
        <f>Tyran!D238</f>
        <v>19.409836065573771</v>
      </c>
      <c r="K241" s="2">
        <f>Fardo!D238</f>
        <v>15.704918032786885</v>
      </c>
      <c r="L241" s="2">
        <f>Entworpe!D238</f>
        <v>12.5</v>
      </c>
      <c r="M241">
        <f t="shared" si="5"/>
        <v>83</v>
      </c>
    </row>
    <row r="242" spans="1:13" x14ac:dyDescent="0.2">
      <c r="A242">
        <v>238</v>
      </c>
      <c r="B242">
        <f>Calopeia!B239</f>
        <v>31</v>
      </c>
      <c r="C242">
        <f>Sorange!B239</f>
        <v>0</v>
      </c>
      <c r="D242">
        <f>Tyran!B239</f>
        <v>0</v>
      </c>
      <c r="E242">
        <f>Fardo!B239</f>
        <v>0</v>
      </c>
      <c r="F242" s="2">
        <f>Entworpe!B239</f>
        <v>0</v>
      </c>
      <c r="G242">
        <v>968</v>
      </c>
      <c r="H242" s="2">
        <f>Calopeia!F239</f>
        <v>48.252086681863425</v>
      </c>
      <c r="I242" s="2">
        <f>Sorange!E239</f>
        <v>50.321309125656953</v>
      </c>
      <c r="J242" s="2">
        <f>Tyran!D239</f>
        <v>19.409836065573771</v>
      </c>
      <c r="K242" s="2">
        <f>Fardo!D239</f>
        <v>15.704918032786885</v>
      </c>
      <c r="L242" s="2">
        <f>Entworpe!D239</f>
        <v>12.5</v>
      </c>
      <c r="M242">
        <f t="shared" si="5"/>
        <v>31</v>
      </c>
    </row>
    <row r="243" spans="1:13" x14ac:dyDescent="0.2">
      <c r="A243">
        <v>239</v>
      </c>
      <c r="B243">
        <f>Calopeia!B240</f>
        <v>57</v>
      </c>
      <c r="C243">
        <f>Sorange!B240</f>
        <v>0</v>
      </c>
      <c r="D243">
        <f>Tyran!B240</f>
        <v>0</v>
      </c>
      <c r="E243">
        <f>Fardo!B240</f>
        <v>0</v>
      </c>
      <c r="F243" s="2">
        <f>Entworpe!B240</f>
        <v>0</v>
      </c>
      <c r="G243">
        <v>969</v>
      </c>
      <c r="H243" s="2">
        <f>Calopeia!F240</f>
        <v>48.252086681863425</v>
      </c>
      <c r="I243" s="2">
        <f>Sorange!E240</f>
        <v>50.473960821786903</v>
      </c>
      <c r="J243" s="2">
        <f>Tyran!D240</f>
        <v>19.409836065573771</v>
      </c>
      <c r="K243" s="2">
        <f>Fardo!D240</f>
        <v>15.704918032786885</v>
      </c>
      <c r="L243" s="2">
        <f>Entworpe!D240</f>
        <v>12.5</v>
      </c>
      <c r="M243">
        <f t="shared" si="5"/>
        <v>57</v>
      </c>
    </row>
    <row r="244" spans="1:13" x14ac:dyDescent="0.2">
      <c r="A244">
        <v>240</v>
      </c>
      <c r="B244">
        <f>Calopeia!B241</f>
        <v>44</v>
      </c>
      <c r="C244">
        <f>Sorange!B241</f>
        <v>0</v>
      </c>
      <c r="D244">
        <f>Tyran!B241</f>
        <v>0</v>
      </c>
      <c r="E244">
        <f>Fardo!B241</f>
        <v>0</v>
      </c>
      <c r="F244" s="2">
        <f>Entworpe!B241</f>
        <v>0</v>
      </c>
      <c r="G244">
        <v>970</v>
      </c>
      <c r="H244" s="2">
        <f>Calopeia!F241</f>
        <v>48.252086681863425</v>
      </c>
      <c r="I244" s="2">
        <f>Sorange!E241</f>
        <v>50.626612517916868</v>
      </c>
      <c r="J244" s="2">
        <f>Tyran!D241</f>
        <v>19.409836065573771</v>
      </c>
      <c r="K244" s="2">
        <f>Fardo!D241</f>
        <v>15.704918032786885</v>
      </c>
      <c r="L244" s="2">
        <f>Entworpe!D241</f>
        <v>12.5</v>
      </c>
      <c r="M244">
        <f t="shared" si="5"/>
        <v>44</v>
      </c>
    </row>
    <row r="245" spans="1:13" x14ac:dyDescent="0.2">
      <c r="A245">
        <v>241</v>
      </c>
      <c r="B245">
        <f>Calopeia!B242</f>
        <v>34</v>
      </c>
      <c r="C245">
        <f>Sorange!B242</f>
        <v>0</v>
      </c>
      <c r="D245">
        <f>Tyran!B242</f>
        <v>0</v>
      </c>
      <c r="E245">
        <f>Fardo!B242</f>
        <v>0</v>
      </c>
      <c r="F245" s="2">
        <f>Entworpe!B242</f>
        <v>0</v>
      </c>
      <c r="G245">
        <v>971</v>
      </c>
      <c r="H245" s="2">
        <f>Calopeia!F242</f>
        <v>48.252086681863425</v>
      </c>
      <c r="I245" s="2">
        <f>Sorange!E242</f>
        <v>50.779264214046819</v>
      </c>
      <c r="J245" s="2">
        <f>Tyran!D242</f>
        <v>19.409836065573771</v>
      </c>
      <c r="K245" s="2">
        <f>Fardo!D242</f>
        <v>15.704918032786885</v>
      </c>
      <c r="L245" s="2">
        <f>Entworpe!D242</f>
        <v>12.5</v>
      </c>
      <c r="M245">
        <f t="shared" si="5"/>
        <v>34</v>
      </c>
    </row>
    <row r="246" spans="1:13" x14ac:dyDescent="0.2">
      <c r="A246">
        <v>242</v>
      </c>
      <c r="B246">
        <f>Calopeia!B243</f>
        <v>97</v>
      </c>
      <c r="C246">
        <f>Sorange!B243</f>
        <v>0</v>
      </c>
      <c r="D246">
        <f>Tyran!B243</f>
        <v>0</v>
      </c>
      <c r="E246">
        <f>Fardo!B243</f>
        <v>0</v>
      </c>
      <c r="F246" s="2">
        <f>Entworpe!B243</f>
        <v>0</v>
      </c>
      <c r="G246">
        <v>972</v>
      </c>
      <c r="H246" s="2">
        <f>Calopeia!F243</f>
        <v>48.252086681863425</v>
      </c>
      <c r="I246" s="2">
        <f>Sorange!E243</f>
        <v>50.931915910176784</v>
      </c>
      <c r="J246" s="2">
        <f>Tyran!D243</f>
        <v>19.409836065573771</v>
      </c>
      <c r="K246" s="2">
        <f>Fardo!D243</f>
        <v>15.704918032786885</v>
      </c>
      <c r="L246" s="2">
        <f>Entworpe!D243</f>
        <v>12.5</v>
      </c>
      <c r="M246">
        <f t="shared" si="5"/>
        <v>97</v>
      </c>
    </row>
    <row r="247" spans="1:13" x14ac:dyDescent="0.2">
      <c r="A247">
        <v>243</v>
      </c>
      <c r="B247">
        <f>Calopeia!B244</f>
        <v>30</v>
      </c>
      <c r="C247">
        <f>Sorange!B244</f>
        <v>0</v>
      </c>
      <c r="D247">
        <f>Tyran!B244</f>
        <v>0</v>
      </c>
      <c r="E247">
        <f>Fardo!B244</f>
        <v>0</v>
      </c>
      <c r="F247" s="2">
        <f>Entworpe!B244</f>
        <v>0</v>
      </c>
      <c r="G247">
        <v>973</v>
      </c>
      <c r="H247" s="2">
        <f>Calopeia!F244</f>
        <v>48.252086681863425</v>
      </c>
      <c r="I247" s="2">
        <f>Sorange!E244</f>
        <v>51.084567606306734</v>
      </c>
      <c r="J247" s="2">
        <f>Tyran!D244</f>
        <v>19.409836065573771</v>
      </c>
      <c r="K247" s="2">
        <f>Fardo!D244</f>
        <v>15.704918032786885</v>
      </c>
      <c r="L247" s="2">
        <f>Entworpe!D244</f>
        <v>12.5</v>
      </c>
      <c r="M247">
        <f t="shared" si="5"/>
        <v>30</v>
      </c>
    </row>
    <row r="248" spans="1:13" x14ac:dyDescent="0.2">
      <c r="A248">
        <v>244</v>
      </c>
      <c r="B248">
        <f>Calopeia!B245</f>
        <v>42</v>
      </c>
      <c r="C248">
        <f>Sorange!B245</f>
        <v>0</v>
      </c>
      <c r="D248">
        <f>Tyran!B245</f>
        <v>0</v>
      </c>
      <c r="E248">
        <f>Fardo!B245</f>
        <v>0</v>
      </c>
      <c r="F248" s="2">
        <f>Entworpe!B245</f>
        <v>0</v>
      </c>
      <c r="G248">
        <v>974</v>
      </c>
      <c r="H248" s="2">
        <f>Calopeia!F245</f>
        <v>48.252086681863425</v>
      </c>
      <c r="I248" s="2">
        <f>Sorange!E245</f>
        <v>51.237219302436685</v>
      </c>
      <c r="J248" s="2">
        <f>Tyran!D245</f>
        <v>19.409836065573771</v>
      </c>
      <c r="K248" s="2">
        <f>Fardo!D245</f>
        <v>15.704918032786885</v>
      </c>
      <c r="L248" s="2">
        <f>Entworpe!D245</f>
        <v>12.5</v>
      </c>
      <c r="M248">
        <f t="shared" si="5"/>
        <v>42</v>
      </c>
    </row>
    <row r="249" spans="1:13" x14ac:dyDescent="0.2">
      <c r="A249">
        <v>245</v>
      </c>
      <c r="B249">
        <f>Calopeia!B246</f>
        <v>83</v>
      </c>
      <c r="C249">
        <f>Sorange!B246</f>
        <v>0</v>
      </c>
      <c r="D249">
        <f>Tyran!B246</f>
        <v>0</v>
      </c>
      <c r="E249">
        <f>Fardo!B246</f>
        <v>0</v>
      </c>
      <c r="F249" s="2">
        <f>Entworpe!B246</f>
        <v>0</v>
      </c>
      <c r="G249">
        <v>975</v>
      </c>
      <c r="H249" s="2">
        <f>Calopeia!F246</f>
        <v>48.252086681863425</v>
      </c>
      <c r="I249" s="2">
        <f>Sorange!E246</f>
        <v>51.38987099856665</v>
      </c>
      <c r="J249" s="2">
        <f>Tyran!D246</f>
        <v>19.409836065573771</v>
      </c>
      <c r="K249" s="2">
        <f>Fardo!D246</f>
        <v>15.704918032786885</v>
      </c>
      <c r="L249" s="2">
        <f>Entworpe!D246</f>
        <v>12.5</v>
      </c>
      <c r="M249">
        <f t="shared" si="5"/>
        <v>83</v>
      </c>
    </row>
    <row r="250" spans="1:13" x14ac:dyDescent="0.2">
      <c r="A250">
        <v>246</v>
      </c>
      <c r="B250">
        <f>Calopeia!B247</f>
        <v>29</v>
      </c>
      <c r="C250">
        <f>Sorange!B247</f>
        <v>0</v>
      </c>
      <c r="D250">
        <f>Tyran!B247</f>
        <v>0</v>
      </c>
      <c r="E250">
        <f>Fardo!B247</f>
        <v>0</v>
      </c>
      <c r="F250" s="2">
        <f>Entworpe!B247</f>
        <v>0</v>
      </c>
      <c r="G250">
        <v>976</v>
      </c>
      <c r="H250" s="2">
        <f>Calopeia!F247</f>
        <v>48.252086681863425</v>
      </c>
      <c r="I250" s="2">
        <f>Sorange!E247</f>
        <v>51.542522694696601</v>
      </c>
      <c r="J250" s="2">
        <f>Tyran!D247</f>
        <v>19.409836065573771</v>
      </c>
      <c r="K250" s="2">
        <f>Fardo!D247</f>
        <v>15.704918032786885</v>
      </c>
      <c r="L250" s="2">
        <f>Entworpe!D247</f>
        <v>12.5</v>
      </c>
      <c r="M250">
        <f t="shared" si="5"/>
        <v>29</v>
      </c>
    </row>
    <row r="251" spans="1:13" x14ac:dyDescent="0.2">
      <c r="A251">
        <v>247</v>
      </c>
      <c r="B251">
        <f>Calopeia!B248</f>
        <v>73</v>
      </c>
      <c r="C251">
        <f>Sorange!B248</f>
        <v>0</v>
      </c>
      <c r="D251">
        <f>Tyran!B248</f>
        <v>0</v>
      </c>
      <c r="E251">
        <f>Fardo!B248</f>
        <v>0</v>
      </c>
      <c r="F251" s="2">
        <f>Entworpe!B248</f>
        <v>0</v>
      </c>
      <c r="G251">
        <v>977</v>
      </c>
      <c r="H251" s="2">
        <f>Calopeia!F248</f>
        <v>48.252086681863425</v>
      </c>
      <c r="I251" s="2">
        <f>Sorange!E248</f>
        <v>51.695174390826566</v>
      </c>
      <c r="J251" s="2">
        <f>Tyran!D248</f>
        <v>19.409836065573771</v>
      </c>
      <c r="K251" s="2">
        <f>Fardo!D248</f>
        <v>15.704918032786885</v>
      </c>
      <c r="L251" s="2">
        <f>Entworpe!D248</f>
        <v>12.5</v>
      </c>
      <c r="M251">
        <f t="shared" si="5"/>
        <v>73</v>
      </c>
    </row>
    <row r="252" spans="1:13" x14ac:dyDescent="0.2">
      <c r="A252">
        <v>248</v>
      </c>
      <c r="B252">
        <f>Calopeia!B249</f>
        <v>67</v>
      </c>
      <c r="C252">
        <f>Sorange!B249</f>
        <v>0</v>
      </c>
      <c r="D252">
        <f>Tyran!B249</f>
        <v>0</v>
      </c>
      <c r="E252">
        <f>Fardo!B249</f>
        <v>0</v>
      </c>
      <c r="F252" s="2">
        <f>Entworpe!B249</f>
        <v>0</v>
      </c>
      <c r="G252">
        <v>978</v>
      </c>
      <c r="H252" s="2">
        <f>Calopeia!F249</f>
        <v>48.252086681863425</v>
      </c>
      <c r="I252" s="2">
        <f>Sorange!E249</f>
        <v>51.847826086956516</v>
      </c>
      <c r="J252" s="2">
        <f>Tyran!D249</f>
        <v>19.409836065573771</v>
      </c>
      <c r="K252" s="2">
        <f>Fardo!D249</f>
        <v>15.704918032786885</v>
      </c>
      <c r="L252" s="2">
        <f>Entworpe!D249</f>
        <v>12.5</v>
      </c>
      <c r="M252">
        <f t="shared" si="5"/>
        <v>67</v>
      </c>
    </row>
    <row r="253" spans="1:13" x14ac:dyDescent="0.2">
      <c r="A253">
        <v>249</v>
      </c>
      <c r="B253">
        <f>Calopeia!B250</f>
        <v>42</v>
      </c>
      <c r="C253">
        <f>Sorange!B250</f>
        <v>0</v>
      </c>
      <c r="D253">
        <f>Tyran!B250</f>
        <v>0</v>
      </c>
      <c r="E253">
        <f>Fardo!B250</f>
        <v>0</v>
      </c>
      <c r="F253" s="2">
        <f>Entworpe!B250</f>
        <v>0</v>
      </c>
      <c r="G253">
        <v>979</v>
      </c>
      <c r="H253" s="2">
        <f>Calopeia!F250</f>
        <v>48.252086681863425</v>
      </c>
      <c r="I253" s="2">
        <f>Sorange!E250</f>
        <v>52.000477783086481</v>
      </c>
      <c r="J253" s="2">
        <f>Tyran!D250</f>
        <v>19.409836065573771</v>
      </c>
      <c r="K253" s="2">
        <f>Fardo!D250</f>
        <v>15.704918032786885</v>
      </c>
      <c r="L253" s="2">
        <f>Entworpe!D250</f>
        <v>12.5</v>
      </c>
      <c r="M253">
        <f t="shared" si="5"/>
        <v>42</v>
      </c>
    </row>
    <row r="254" spans="1:13" x14ac:dyDescent="0.2">
      <c r="A254">
        <v>250</v>
      </c>
      <c r="B254">
        <f>Calopeia!B251</f>
        <v>67</v>
      </c>
      <c r="C254">
        <f>Sorange!B251</f>
        <v>0</v>
      </c>
      <c r="D254">
        <f>Tyran!B251</f>
        <v>0</v>
      </c>
      <c r="E254">
        <f>Fardo!B251</f>
        <v>0</v>
      </c>
      <c r="F254" s="2">
        <f>Entworpe!B251</f>
        <v>0</v>
      </c>
      <c r="G254">
        <v>980</v>
      </c>
      <c r="H254" s="2">
        <f>Calopeia!F251</f>
        <v>48.252086681863425</v>
      </c>
      <c r="I254" s="2">
        <f>Sorange!E251</f>
        <v>52.153129479216432</v>
      </c>
      <c r="J254" s="2">
        <f>Tyran!D251</f>
        <v>19.409836065573771</v>
      </c>
      <c r="K254" s="2">
        <f>Fardo!D251</f>
        <v>15.704918032786885</v>
      </c>
      <c r="L254" s="2">
        <f>Entworpe!D251</f>
        <v>12.5</v>
      </c>
      <c r="M254">
        <f t="shared" si="5"/>
        <v>67</v>
      </c>
    </row>
    <row r="255" spans="1:13" x14ac:dyDescent="0.2">
      <c r="A255">
        <v>251</v>
      </c>
      <c r="B255">
        <f>Calopeia!B252</f>
        <v>32</v>
      </c>
      <c r="C255">
        <f>Sorange!B252</f>
        <v>0</v>
      </c>
      <c r="D255">
        <f>Tyran!B252</f>
        <v>0</v>
      </c>
      <c r="E255">
        <f>Fardo!B252</f>
        <v>0</v>
      </c>
      <c r="F255" s="2">
        <f>Entworpe!B252</f>
        <v>0</v>
      </c>
      <c r="G255">
        <v>981</v>
      </c>
      <c r="H255" s="2">
        <f>Calopeia!F252</f>
        <v>48.252086681863425</v>
      </c>
      <c r="I255" s="2">
        <f>Sorange!E252</f>
        <v>52.305781175346397</v>
      </c>
      <c r="J255" s="2">
        <f>Tyran!D252</f>
        <v>19.409836065573771</v>
      </c>
      <c r="K255" s="2">
        <f>Fardo!D252</f>
        <v>15.704918032786885</v>
      </c>
      <c r="L255" s="2">
        <f>Entworpe!D252</f>
        <v>12.5</v>
      </c>
      <c r="M255">
        <f t="shared" si="5"/>
        <v>32</v>
      </c>
    </row>
    <row r="256" spans="1:13" x14ac:dyDescent="0.2">
      <c r="A256">
        <v>252</v>
      </c>
      <c r="B256">
        <f>Calopeia!B253</f>
        <v>37</v>
      </c>
      <c r="C256">
        <f>Sorange!B253</f>
        <v>0</v>
      </c>
      <c r="D256">
        <f>Tyran!B253</f>
        <v>0</v>
      </c>
      <c r="E256">
        <f>Fardo!B253</f>
        <v>0</v>
      </c>
      <c r="F256" s="2">
        <f>Entworpe!B253</f>
        <v>0</v>
      </c>
      <c r="G256">
        <v>982</v>
      </c>
      <c r="H256" s="2">
        <f>Calopeia!F253</f>
        <v>48.252086681863425</v>
      </c>
      <c r="I256" s="2">
        <f>Sorange!E253</f>
        <v>52.458432871476347</v>
      </c>
      <c r="J256" s="2">
        <f>Tyran!D253</f>
        <v>19.409836065573771</v>
      </c>
      <c r="K256" s="2">
        <f>Fardo!D253</f>
        <v>15.704918032786885</v>
      </c>
      <c r="L256" s="2">
        <f>Entworpe!D253</f>
        <v>12.5</v>
      </c>
      <c r="M256">
        <f t="shared" si="5"/>
        <v>37</v>
      </c>
    </row>
    <row r="257" spans="1:13" x14ac:dyDescent="0.2">
      <c r="A257">
        <v>253</v>
      </c>
      <c r="B257">
        <f>Calopeia!B254</f>
        <v>44</v>
      </c>
      <c r="C257">
        <f>Sorange!B254</f>
        <v>0</v>
      </c>
      <c r="D257">
        <f>Tyran!B254</f>
        <v>0</v>
      </c>
      <c r="E257">
        <f>Fardo!B254</f>
        <v>0</v>
      </c>
      <c r="F257" s="2">
        <f>Entworpe!B254</f>
        <v>0</v>
      </c>
      <c r="G257">
        <v>983</v>
      </c>
      <c r="H257" s="2">
        <f>Calopeia!F254</f>
        <v>48.252086681863425</v>
      </c>
      <c r="I257" s="2">
        <f>Sorange!E254</f>
        <v>52.611084567606298</v>
      </c>
      <c r="J257" s="2">
        <f>Tyran!D254</f>
        <v>19.409836065573771</v>
      </c>
      <c r="K257" s="2">
        <f>Fardo!D254</f>
        <v>15.704918032786885</v>
      </c>
      <c r="L257" s="2">
        <f>Entworpe!D254</f>
        <v>12.5</v>
      </c>
      <c r="M257">
        <f t="shared" si="5"/>
        <v>44</v>
      </c>
    </row>
    <row r="258" spans="1:13" x14ac:dyDescent="0.2">
      <c r="A258">
        <v>254</v>
      </c>
      <c r="B258">
        <f>Calopeia!B255</f>
        <v>58</v>
      </c>
      <c r="C258">
        <f>Sorange!B255</f>
        <v>0</v>
      </c>
      <c r="D258">
        <f>Tyran!B255</f>
        <v>0</v>
      </c>
      <c r="E258">
        <f>Fardo!B255</f>
        <v>0</v>
      </c>
      <c r="F258" s="2">
        <f>Entworpe!B255</f>
        <v>0</v>
      </c>
      <c r="G258">
        <v>984</v>
      </c>
      <c r="H258" s="2">
        <f>Calopeia!F255</f>
        <v>48.252086681863425</v>
      </c>
      <c r="I258" s="2">
        <f>Sorange!E255</f>
        <v>52.763736263736263</v>
      </c>
      <c r="J258" s="2">
        <f>Tyran!D255</f>
        <v>19.409836065573771</v>
      </c>
      <c r="K258" s="2">
        <f>Fardo!D255</f>
        <v>15.704918032786885</v>
      </c>
      <c r="L258" s="2">
        <f>Entworpe!D255</f>
        <v>12.5</v>
      </c>
      <c r="M258">
        <f t="shared" si="5"/>
        <v>58</v>
      </c>
    </row>
    <row r="259" spans="1:13" x14ac:dyDescent="0.2">
      <c r="A259">
        <v>255</v>
      </c>
      <c r="B259">
        <f>Calopeia!B256</f>
        <v>50</v>
      </c>
      <c r="C259">
        <f>Sorange!B256</f>
        <v>0</v>
      </c>
      <c r="D259">
        <f>Tyran!B256</f>
        <v>0</v>
      </c>
      <c r="E259">
        <f>Fardo!B256</f>
        <v>0</v>
      </c>
      <c r="F259" s="2">
        <f>Entworpe!B256</f>
        <v>0</v>
      </c>
      <c r="G259">
        <v>985</v>
      </c>
      <c r="H259" s="2">
        <f>Calopeia!F256</f>
        <v>48.252086681863425</v>
      </c>
      <c r="I259" s="2">
        <f>Sorange!E256</f>
        <v>52.916387959866213</v>
      </c>
      <c r="J259" s="2">
        <f>Tyran!D256</f>
        <v>19.409836065573771</v>
      </c>
      <c r="K259" s="2">
        <f>Fardo!D256</f>
        <v>15.704918032786885</v>
      </c>
      <c r="L259" s="2">
        <f>Entworpe!D256</f>
        <v>12.5</v>
      </c>
      <c r="M259">
        <f t="shared" si="5"/>
        <v>50</v>
      </c>
    </row>
    <row r="260" spans="1:13" x14ac:dyDescent="0.2">
      <c r="A260">
        <v>256</v>
      </c>
      <c r="B260">
        <f>Calopeia!B257</f>
        <v>34</v>
      </c>
      <c r="C260">
        <f>Sorange!B257</f>
        <v>0</v>
      </c>
      <c r="D260">
        <f>Tyran!B257</f>
        <v>0</v>
      </c>
      <c r="E260">
        <f>Fardo!B257</f>
        <v>0</v>
      </c>
      <c r="F260" s="2">
        <f>Entworpe!B257</f>
        <v>0</v>
      </c>
      <c r="G260">
        <v>986</v>
      </c>
      <c r="H260" s="2">
        <f>Calopeia!F257</f>
        <v>48.252086681863425</v>
      </c>
      <c r="I260" s="2">
        <f>Sorange!E257</f>
        <v>53.069039655996178</v>
      </c>
      <c r="J260" s="2">
        <f>Tyran!D257</f>
        <v>19.409836065573771</v>
      </c>
      <c r="K260" s="2">
        <f>Fardo!D257</f>
        <v>15.704918032786885</v>
      </c>
      <c r="L260" s="2">
        <f>Entworpe!D257</f>
        <v>12.5</v>
      </c>
      <c r="M260">
        <f t="shared" si="5"/>
        <v>34</v>
      </c>
    </row>
    <row r="261" spans="1:13" x14ac:dyDescent="0.2">
      <c r="A261">
        <v>257</v>
      </c>
      <c r="B261">
        <f>Calopeia!B258</f>
        <v>69</v>
      </c>
      <c r="C261">
        <f>Sorange!B258</f>
        <v>0</v>
      </c>
      <c r="D261">
        <f>Tyran!B258</f>
        <v>0</v>
      </c>
      <c r="E261">
        <f>Fardo!B258</f>
        <v>0</v>
      </c>
      <c r="F261" s="2">
        <f>Entworpe!B258</f>
        <v>0</v>
      </c>
      <c r="G261">
        <v>987</v>
      </c>
      <c r="H261" s="2">
        <f>Calopeia!F258</f>
        <v>48.252086681863425</v>
      </c>
      <c r="I261" s="2">
        <f>Sorange!E258</f>
        <v>53.221691352126129</v>
      </c>
      <c r="J261" s="2">
        <f>Tyran!D258</f>
        <v>19.409836065573771</v>
      </c>
      <c r="K261" s="2">
        <f>Fardo!D258</f>
        <v>15.704918032786885</v>
      </c>
      <c r="L261" s="2">
        <f>Entworpe!D258</f>
        <v>12.5</v>
      </c>
      <c r="M261">
        <f t="shared" si="5"/>
        <v>69</v>
      </c>
    </row>
    <row r="262" spans="1:13" x14ac:dyDescent="0.2">
      <c r="A262">
        <v>258</v>
      </c>
      <c r="B262">
        <f>Calopeia!B259</f>
        <v>47</v>
      </c>
      <c r="C262">
        <f>Sorange!B259</f>
        <v>0</v>
      </c>
      <c r="D262">
        <f>Tyran!B259</f>
        <v>0</v>
      </c>
      <c r="E262">
        <f>Fardo!B259</f>
        <v>0</v>
      </c>
      <c r="F262" s="2">
        <f>Entworpe!B259</f>
        <v>0</v>
      </c>
      <c r="G262">
        <v>988</v>
      </c>
      <c r="H262" s="2">
        <f>Calopeia!F259</f>
        <v>48.252086681863425</v>
      </c>
      <c r="I262" s="2">
        <f>Sorange!E259</f>
        <v>53.374343048256094</v>
      </c>
      <c r="J262" s="2">
        <f>Tyran!D259</f>
        <v>19.409836065573771</v>
      </c>
      <c r="K262" s="2">
        <f>Fardo!D259</f>
        <v>15.704918032786885</v>
      </c>
      <c r="L262" s="2">
        <f>Entworpe!D259</f>
        <v>12.5</v>
      </c>
      <c r="M262">
        <f t="shared" ref="M262:M325" si="6">B262+F262</f>
        <v>47</v>
      </c>
    </row>
    <row r="263" spans="1:13" x14ac:dyDescent="0.2">
      <c r="A263">
        <v>259</v>
      </c>
      <c r="B263">
        <f>Calopeia!B260</f>
        <v>44</v>
      </c>
      <c r="C263">
        <f>Sorange!B260</f>
        <v>0</v>
      </c>
      <c r="D263">
        <f>Tyran!B260</f>
        <v>0</v>
      </c>
      <c r="E263">
        <f>Fardo!B260</f>
        <v>0</v>
      </c>
      <c r="F263" s="2">
        <f>Entworpe!B260</f>
        <v>0</v>
      </c>
      <c r="G263">
        <v>989</v>
      </c>
      <c r="H263" s="2">
        <f>Calopeia!F260</f>
        <v>48.252086681863425</v>
      </c>
      <c r="I263" s="2">
        <f>Sorange!E260</f>
        <v>53.526994744386045</v>
      </c>
      <c r="J263" s="2">
        <f>Tyran!D260</f>
        <v>19.409836065573771</v>
      </c>
      <c r="K263" s="2">
        <f>Fardo!D260</f>
        <v>15.704918032786885</v>
      </c>
      <c r="L263" s="2">
        <f>Entworpe!D260</f>
        <v>12.5</v>
      </c>
      <c r="M263">
        <f t="shared" si="6"/>
        <v>44</v>
      </c>
    </row>
    <row r="264" spans="1:13" x14ac:dyDescent="0.2">
      <c r="A264">
        <v>260</v>
      </c>
      <c r="B264">
        <f>Calopeia!B261</f>
        <v>46</v>
      </c>
      <c r="C264">
        <f>Sorange!B261</f>
        <v>0</v>
      </c>
      <c r="D264">
        <f>Tyran!B261</f>
        <v>0</v>
      </c>
      <c r="E264">
        <f>Fardo!B261</f>
        <v>0</v>
      </c>
      <c r="F264" s="2">
        <f>Entworpe!B261</f>
        <v>0</v>
      </c>
      <c r="G264">
        <v>990</v>
      </c>
      <c r="H264" s="2">
        <f>Calopeia!F261</f>
        <v>48.252086681863425</v>
      </c>
      <c r="I264" s="2">
        <f>Sorange!E261</f>
        <v>53.679646440516009</v>
      </c>
      <c r="J264" s="2">
        <f>Tyran!D261</f>
        <v>19.409836065573771</v>
      </c>
      <c r="K264" s="2">
        <f>Fardo!D261</f>
        <v>15.704918032786885</v>
      </c>
      <c r="L264" s="2">
        <f>Entworpe!D261</f>
        <v>12.5</v>
      </c>
      <c r="M264">
        <f t="shared" si="6"/>
        <v>46</v>
      </c>
    </row>
    <row r="265" spans="1:13" x14ac:dyDescent="0.2">
      <c r="A265">
        <v>261</v>
      </c>
      <c r="B265">
        <f>Calopeia!B262</f>
        <v>45</v>
      </c>
      <c r="C265">
        <f>Sorange!B262</f>
        <v>0</v>
      </c>
      <c r="D265">
        <f>Tyran!B262</f>
        <v>0</v>
      </c>
      <c r="E265">
        <f>Fardo!B262</f>
        <v>0</v>
      </c>
      <c r="F265" s="2">
        <f>Entworpe!B262</f>
        <v>0</v>
      </c>
      <c r="G265">
        <v>991</v>
      </c>
      <c r="H265" s="2">
        <f>Calopeia!F262</f>
        <v>48.252086681863425</v>
      </c>
      <c r="I265" s="2">
        <f>Sorange!E262</f>
        <v>53.83229813664596</v>
      </c>
      <c r="J265" s="2">
        <f>Tyran!D262</f>
        <v>19.409836065573771</v>
      </c>
      <c r="K265" s="2">
        <f>Fardo!D262</f>
        <v>15.704918032786885</v>
      </c>
      <c r="L265" s="2">
        <f>Entworpe!D262</f>
        <v>12.5</v>
      </c>
      <c r="M265">
        <f t="shared" si="6"/>
        <v>45</v>
      </c>
    </row>
    <row r="266" spans="1:13" x14ac:dyDescent="0.2">
      <c r="A266">
        <v>262</v>
      </c>
      <c r="B266">
        <f>Calopeia!B263</f>
        <v>77</v>
      </c>
      <c r="C266">
        <f>Sorange!B263</f>
        <v>0</v>
      </c>
      <c r="D266">
        <f>Tyran!B263</f>
        <v>0</v>
      </c>
      <c r="E266">
        <f>Fardo!B263</f>
        <v>0</v>
      </c>
      <c r="F266" s="2">
        <f>Entworpe!B263</f>
        <v>0</v>
      </c>
      <c r="G266">
        <v>992</v>
      </c>
      <c r="H266" s="2">
        <f>Calopeia!F263</f>
        <v>48.252086681863425</v>
      </c>
      <c r="I266" s="2">
        <f>Sorange!E263</f>
        <v>53.984949832775911</v>
      </c>
      <c r="J266" s="2">
        <f>Tyran!D263</f>
        <v>19.409836065573771</v>
      </c>
      <c r="K266" s="2">
        <f>Fardo!D263</f>
        <v>15.704918032786885</v>
      </c>
      <c r="L266" s="2">
        <f>Entworpe!D263</f>
        <v>12.5</v>
      </c>
      <c r="M266">
        <f t="shared" si="6"/>
        <v>77</v>
      </c>
    </row>
    <row r="267" spans="1:13" x14ac:dyDescent="0.2">
      <c r="A267">
        <v>263</v>
      </c>
      <c r="B267">
        <f>Calopeia!B264</f>
        <v>74</v>
      </c>
      <c r="C267">
        <f>Sorange!B264</f>
        <v>0</v>
      </c>
      <c r="D267">
        <f>Tyran!B264</f>
        <v>0</v>
      </c>
      <c r="E267">
        <f>Fardo!B264</f>
        <v>0</v>
      </c>
      <c r="F267" s="2">
        <f>Entworpe!B264</f>
        <v>0</v>
      </c>
      <c r="G267">
        <v>993</v>
      </c>
      <c r="H267" s="2">
        <f>Calopeia!F264</f>
        <v>48.252086681863425</v>
      </c>
      <c r="I267" s="2">
        <f>Sorange!E264</f>
        <v>54.137601528905876</v>
      </c>
      <c r="J267" s="2">
        <f>Tyran!D264</f>
        <v>19.409836065573771</v>
      </c>
      <c r="K267" s="2">
        <f>Fardo!D264</f>
        <v>15.704918032786885</v>
      </c>
      <c r="L267" s="2">
        <f>Entworpe!D264</f>
        <v>12.5</v>
      </c>
      <c r="M267">
        <f t="shared" si="6"/>
        <v>74</v>
      </c>
    </row>
    <row r="268" spans="1:13" x14ac:dyDescent="0.2">
      <c r="A268">
        <v>264</v>
      </c>
      <c r="B268">
        <f>Calopeia!B265</f>
        <v>42</v>
      </c>
      <c r="C268">
        <f>Sorange!B265</f>
        <v>0</v>
      </c>
      <c r="D268">
        <f>Tyran!B265</f>
        <v>0</v>
      </c>
      <c r="E268">
        <f>Fardo!B265</f>
        <v>0</v>
      </c>
      <c r="F268" s="2">
        <f>Entworpe!B265</f>
        <v>0</v>
      </c>
      <c r="G268">
        <v>994</v>
      </c>
      <c r="H268" s="2">
        <f>Calopeia!F265</f>
        <v>48.252086681863425</v>
      </c>
      <c r="I268" s="2">
        <f>Sorange!E265</f>
        <v>54.290253225035826</v>
      </c>
      <c r="J268" s="2">
        <f>Tyran!D265</f>
        <v>19.409836065573771</v>
      </c>
      <c r="K268" s="2">
        <f>Fardo!D265</f>
        <v>15.704918032786885</v>
      </c>
      <c r="L268" s="2">
        <f>Entworpe!D265</f>
        <v>12.5</v>
      </c>
      <c r="M268">
        <f t="shared" si="6"/>
        <v>42</v>
      </c>
    </row>
    <row r="269" spans="1:13" x14ac:dyDescent="0.2">
      <c r="A269">
        <v>265</v>
      </c>
      <c r="B269">
        <f>Calopeia!B266</f>
        <v>22</v>
      </c>
      <c r="C269">
        <f>Sorange!B266</f>
        <v>0</v>
      </c>
      <c r="D269">
        <f>Tyran!B266</f>
        <v>0</v>
      </c>
      <c r="E269">
        <f>Fardo!B266</f>
        <v>0</v>
      </c>
      <c r="F269" s="2">
        <f>Entworpe!B266</f>
        <v>0</v>
      </c>
      <c r="G269">
        <v>995</v>
      </c>
      <c r="H269" s="2">
        <f>Calopeia!F266</f>
        <v>48.252086681863425</v>
      </c>
      <c r="I269" s="2">
        <f>Sorange!E266</f>
        <v>54.442904921165791</v>
      </c>
      <c r="J269" s="2">
        <f>Tyran!D266</f>
        <v>19.409836065573771</v>
      </c>
      <c r="K269" s="2">
        <f>Fardo!D266</f>
        <v>15.704918032786885</v>
      </c>
      <c r="L269" s="2">
        <f>Entworpe!D266</f>
        <v>12.5</v>
      </c>
      <c r="M269">
        <f t="shared" si="6"/>
        <v>22</v>
      </c>
    </row>
    <row r="270" spans="1:13" x14ac:dyDescent="0.2">
      <c r="A270">
        <v>266</v>
      </c>
      <c r="B270">
        <f>Calopeia!B267</f>
        <v>88</v>
      </c>
      <c r="C270">
        <f>Sorange!B267</f>
        <v>0</v>
      </c>
      <c r="D270">
        <f>Tyran!B267</f>
        <v>0</v>
      </c>
      <c r="E270">
        <f>Fardo!B267</f>
        <v>0</v>
      </c>
      <c r="F270" s="2">
        <f>Entworpe!B267</f>
        <v>0</v>
      </c>
      <c r="G270">
        <v>996</v>
      </c>
      <c r="H270" s="2">
        <f>Calopeia!F267</f>
        <v>48.252086681863425</v>
      </c>
      <c r="I270" s="2">
        <f>Sorange!E267</f>
        <v>54.595556617295742</v>
      </c>
      <c r="J270" s="2">
        <f>Tyran!D267</f>
        <v>19.409836065573771</v>
      </c>
      <c r="K270" s="2">
        <f>Fardo!D267</f>
        <v>15.704918032786885</v>
      </c>
      <c r="L270" s="2">
        <f>Entworpe!D267</f>
        <v>12.5</v>
      </c>
      <c r="M270">
        <f t="shared" si="6"/>
        <v>88</v>
      </c>
    </row>
    <row r="271" spans="1:13" x14ac:dyDescent="0.2">
      <c r="A271">
        <v>267</v>
      </c>
      <c r="B271">
        <f>Calopeia!B268</f>
        <v>70</v>
      </c>
      <c r="C271">
        <f>Sorange!B268</f>
        <v>0</v>
      </c>
      <c r="D271">
        <f>Tyran!B268</f>
        <v>0</v>
      </c>
      <c r="E271">
        <f>Fardo!B268</f>
        <v>0</v>
      </c>
      <c r="F271" s="2">
        <f>Entworpe!B268</f>
        <v>0</v>
      </c>
      <c r="G271">
        <v>997</v>
      </c>
      <c r="H271" s="2">
        <f>Calopeia!F268</f>
        <v>48.252086681863425</v>
      </c>
      <c r="I271" s="2">
        <f>Sorange!E268</f>
        <v>54.748208313425707</v>
      </c>
      <c r="J271" s="2">
        <f>Tyran!D268</f>
        <v>19.409836065573771</v>
      </c>
      <c r="K271" s="2">
        <f>Fardo!D268</f>
        <v>15.704918032786885</v>
      </c>
      <c r="L271" s="2">
        <f>Entworpe!D268</f>
        <v>12.5</v>
      </c>
      <c r="M271">
        <f t="shared" si="6"/>
        <v>70</v>
      </c>
    </row>
    <row r="272" spans="1:13" x14ac:dyDescent="0.2">
      <c r="A272">
        <v>268</v>
      </c>
      <c r="B272">
        <f>Calopeia!B269</f>
        <v>43</v>
      </c>
      <c r="C272">
        <f>Sorange!B269</f>
        <v>0</v>
      </c>
      <c r="D272">
        <f>Tyran!B269</f>
        <v>0</v>
      </c>
      <c r="E272">
        <f>Fardo!B269</f>
        <v>0</v>
      </c>
      <c r="F272" s="2">
        <f>Entworpe!B269</f>
        <v>0</v>
      </c>
      <c r="G272">
        <v>998</v>
      </c>
      <c r="H272" s="2">
        <f>Calopeia!F269</f>
        <v>48.252086681863425</v>
      </c>
      <c r="I272" s="2">
        <f>Sorange!E269</f>
        <v>54.900860009555657</v>
      </c>
      <c r="J272" s="2">
        <f>Tyran!D269</f>
        <v>19.409836065573771</v>
      </c>
      <c r="K272" s="2">
        <f>Fardo!D269</f>
        <v>15.704918032786885</v>
      </c>
      <c r="L272" s="2">
        <f>Entworpe!D269</f>
        <v>12.5</v>
      </c>
      <c r="M272">
        <f t="shared" si="6"/>
        <v>43</v>
      </c>
    </row>
    <row r="273" spans="1:13" x14ac:dyDescent="0.2">
      <c r="A273">
        <v>269</v>
      </c>
      <c r="B273">
        <f>Calopeia!B270</f>
        <v>47</v>
      </c>
      <c r="C273">
        <f>Sorange!B270</f>
        <v>0</v>
      </c>
      <c r="D273">
        <f>Tyran!B270</f>
        <v>0</v>
      </c>
      <c r="E273">
        <f>Fardo!B270</f>
        <v>0</v>
      </c>
      <c r="F273" s="2">
        <f>Entworpe!B270</f>
        <v>0</v>
      </c>
      <c r="G273">
        <v>999</v>
      </c>
      <c r="H273" s="2">
        <f>Calopeia!F270</f>
        <v>48.252086681863425</v>
      </c>
      <c r="I273" s="2">
        <f>Sorange!E270</f>
        <v>55.053511705685622</v>
      </c>
      <c r="J273" s="2">
        <f>Tyran!D270</f>
        <v>19.409836065573771</v>
      </c>
      <c r="K273" s="2">
        <f>Fardo!D270</f>
        <v>15.704918032786885</v>
      </c>
      <c r="L273" s="2">
        <f>Entworpe!D270</f>
        <v>12.5</v>
      </c>
      <c r="M273">
        <f t="shared" si="6"/>
        <v>47</v>
      </c>
    </row>
    <row r="274" spans="1:13" x14ac:dyDescent="0.2">
      <c r="A274">
        <v>270</v>
      </c>
      <c r="B274">
        <f>Calopeia!B271</f>
        <v>46</v>
      </c>
      <c r="C274">
        <f>Sorange!B271</f>
        <v>0</v>
      </c>
      <c r="D274">
        <f>Tyran!B271</f>
        <v>0</v>
      </c>
      <c r="E274">
        <f>Fardo!B271</f>
        <v>0</v>
      </c>
      <c r="F274" s="2">
        <f>Entworpe!B271</f>
        <v>0</v>
      </c>
      <c r="G274">
        <v>1000</v>
      </c>
      <c r="H274" s="2">
        <f>Calopeia!F271</f>
        <v>48.252086681863425</v>
      </c>
      <c r="I274" s="2">
        <f>Sorange!E271</f>
        <v>55.206163401815573</v>
      </c>
      <c r="J274" s="2">
        <f>Tyran!D271</f>
        <v>19.409836065573771</v>
      </c>
      <c r="K274" s="2">
        <f>Fardo!D271</f>
        <v>15.704918032786885</v>
      </c>
      <c r="L274" s="2">
        <f>Entworpe!D271</f>
        <v>12.5</v>
      </c>
      <c r="M274">
        <f t="shared" si="6"/>
        <v>46</v>
      </c>
    </row>
    <row r="275" spans="1:13" x14ac:dyDescent="0.2">
      <c r="A275">
        <v>271</v>
      </c>
      <c r="B275">
        <f>Calopeia!B272</f>
        <v>44</v>
      </c>
      <c r="C275">
        <f>Sorange!B272</f>
        <v>0</v>
      </c>
      <c r="D275">
        <f>Tyran!B272</f>
        <v>0</v>
      </c>
      <c r="E275">
        <f>Fardo!B272</f>
        <v>0</v>
      </c>
      <c r="F275" s="2">
        <f>Entworpe!B272</f>
        <v>0</v>
      </c>
      <c r="G275">
        <v>1001</v>
      </c>
      <c r="H275" s="2">
        <f>Calopeia!F272</f>
        <v>48.252086681863425</v>
      </c>
      <c r="I275" s="2">
        <f>Sorange!E272</f>
        <v>55.358815097945524</v>
      </c>
      <c r="J275" s="2">
        <f>Tyran!D272</f>
        <v>19.409836065573771</v>
      </c>
      <c r="K275" s="2">
        <f>Fardo!D272</f>
        <v>15.704918032786885</v>
      </c>
      <c r="L275" s="2">
        <f>Entworpe!D272</f>
        <v>12.5</v>
      </c>
      <c r="M275">
        <f t="shared" si="6"/>
        <v>44</v>
      </c>
    </row>
    <row r="276" spans="1:13" x14ac:dyDescent="0.2">
      <c r="A276">
        <v>272</v>
      </c>
      <c r="B276">
        <f>Calopeia!B273</f>
        <v>53</v>
      </c>
      <c r="C276">
        <f>Sorange!B273</f>
        <v>0</v>
      </c>
      <c r="D276">
        <f>Tyran!B273</f>
        <v>0</v>
      </c>
      <c r="E276">
        <f>Fardo!B273</f>
        <v>0</v>
      </c>
      <c r="F276" s="2">
        <f>Entworpe!B273</f>
        <v>0</v>
      </c>
      <c r="G276">
        <v>1002</v>
      </c>
      <c r="H276" s="2">
        <f>Calopeia!F273</f>
        <v>48.252086681863425</v>
      </c>
      <c r="I276" s="2">
        <f>Sorange!E273</f>
        <v>55.511466794075488</v>
      </c>
      <c r="J276" s="2">
        <f>Tyran!D273</f>
        <v>19.409836065573771</v>
      </c>
      <c r="K276" s="2">
        <f>Fardo!D273</f>
        <v>15.704918032786885</v>
      </c>
      <c r="L276" s="2">
        <f>Entworpe!D273</f>
        <v>12.5</v>
      </c>
      <c r="M276">
        <f t="shared" si="6"/>
        <v>53</v>
      </c>
    </row>
    <row r="277" spans="1:13" x14ac:dyDescent="0.2">
      <c r="A277">
        <v>273</v>
      </c>
      <c r="B277">
        <f>Calopeia!B274</f>
        <v>38</v>
      </c>
      <c r="C277">
        <f>Sorange!B274</f>
        <v>0</v>
      </c>
      <c r="D277">
        <f>Tyran!B274</f>
        <v>0</v>
      </c>
      <c r="E277">
        <f>Fardo!B274</f>
        <v>0</v>
      </c>
      <c r="F277" s="2">
        <f>Entworpe!B274</f>
        <v>0</v>
      </c>
      <c r="G277">
        <v>1003</v>
      </c>
      <c r="H277" s="2">
        <f>Calopeia!F274</f>
        <v>48.252086681863425</v>
      </c>
      <c r="I277" s="2">
        <f>Sorange!E274</f>
        <v>55.664118490205439</v>
      </c>
      <c r="J277" s="2">
        <f>Tyran!D274</f>
        <v>19.409836065573771</v>
      </c>
      <c r="K277" s="2">
        <f>Fardo!D274</f>
        <v>15.704918032786885</v>
      </c>
      <c r="L277" s="2">
        <f>Entworpe!D274</f>
        <v>12.5</v>
      </c>
      <c r="M277">
        <f t="shared" si="6"/>
        <v>38</v>
      </c>
    </row>
    <row r="278" spans="1:13" x14ac:dyDescent="0.2">
      <c r="A278">
        <v>274</v>
      </c>
      <c r="B278">
        <f>Calopeia!B275</f>
        <v>44</v>
      </c>
      <c r="C278">
        <f>Sorange!B275</f>
        <v>0</v>
      </c>
      <c r="D278">
        <f>Tyran!B275</f>
        <v>0</v>
      </c>
      <c r="E278">
        <f>Fardo!B275</f>
        <v>0</v>
      </c>
      <c r="F278" s="2">
        <f>Entworpe!B275</f>
        <v>0</v>
      </c>
      <c r="G278">
        <v>1004</v>
      </c>
      <c r="H278" s="2">
        <f>Calopeia!F275</f>
        <v>48.252086681863425</v>
      </c>
      <c r="I278" s="2">
        <f>Sorange!E275</f>
        <v>55.816770186335404</v>
      </c>
      <c r="J278" s="2">
        <f>Tyran!D275</f>
        <v>19.409836065573771</v>
      </c>
      <c r="K278" s="2">
        <f>Fardo!D275</f>
        <v>15.704918032786885</v>
      </c>
      <c r="L278" s="2">
        <f>Entworpe!D275</f>
        <v>12.5</v>
      </c>
      <c r="M278">
        <f t="shared" si="6"/>
        <v>44</v>
      </c>
    </row>
    <row r="279" spans="1:13" x14ac:dyDescent="0.2">
      <c r="A279">
        <v>275</v>
      </c>
      <c r="B279">
        <f>Calopeia!B276</f>
        <v>37</v>
      </c>
      <c r="C279">
        <f>Sorange!B276</f>
        <v>0</v>
      </c>
      <c r="D279">
        <f>Tyran!B276</f>
        <v>0</v>
      </c>
      <c r="E279">
        <f>Fardo!B276</f>
        <v>0</v>
      </c>
      <c r="F279" s="2">
        <f>Entworpe!B276</f>
        <v>0</v>
      </c>
      <c r="G279">
        <v>1005</v>
      </c>
      <c r="H279" s="2">
        <f>Calopeia!F276</f>
        <v>48.252086681863425</v>
      </c>
      <c r="I279" s="2">
        <f>Sorange!E276</f>
        <v>55.969421882465355</v>
      </c>
      <c r="J279" s="2">
        <f>Tyran!D276</f>
        <v>19.409836065573771</v>
      </c>
      <c r="K279" s="2">
        <f>Fardo!D276</f>
        <v>15.704918032786885</v>
      </c>
      <c r="L279" s="2">
        <f>Entworpe!D276</f>
        <v>12.5</v>
      </c>
      <c r="M279">
        <f t="shared" si="6"/>
        <v>37</v>
      </c>
    </row>
    <row r="280" spans="1:13" x14ac:dyDescent="0.2">
      <c r="A280">
        <v>276</v>
      </c>
      <c r="B280">
        <f>Calopeia!B277</f>
        <v>10</v>
      </c>
      <c r="C280">
        <f>Sorange!B277</f>
        <v>0</v>
      </c>
      <c r="D280">
        <f>Tyran!B277</f>
        <v>0</v>
      </c>
      <c r="E280">
        <f>Fardo!B277</f>
        <v>0</v>
      </c>
      <c r="F280" s="2">
        <f>Entworpe!B277</f>
        <v>0</v>
      </c>
      <c r="G280">
        <v>1006</v>
      </c>
      <c r="H280" s="2">
        <f>Calopeia!F277</f>
        <v>48.252086681863425</v>
      </c>
      <c r="I280" s="2">
        <f>Sorange!E277</f>
        <v>56.12207357859532</v>
      </c>
      <c r="J280" s="2">
        <f>Tyran!D277</f>
        <v>19.409836065573771</v>
      </c>
      <c r="K280" s="2">
        <f>Fardo!D277</f>
        <v>15.704918032786885</v>
      </c>
      <c r="L280" s="2">
        <f>Entworpe!D277</f>
        <v>12.5</v>
      </c>
      <c r="M280">
        <f t="shared" si="6"/>
        <v>10</v>
      </c>
    </row>
    <row r="281" spans="1:13" x14ac:dyDescent="0.2">
      <c r="A281">
        <v>277</v>
      </c>
      <c r="B281">
        <f>Calopeia!B278</f>
        <v>40</v>
      </c>
      <c r="C281">
        <f>Sorange!B278</f>
        <v>0</v>
      </c>
      <c r="D281">
        <f>Tyran!B278</f>
        <v>0</v>
      </c>
      <c r="E281">
        <f>Fardo!B278</f>
        <v>0</v>
      </c>
      <c r="F281" s="2">
        <f>Entworpe!B278</f>
        <v>0</v>
      </c>
      <c r="G281">
        <v>1007</v>
      </c>
      <c r="H281" s="2">
        <f>Calopeia!F278</f>
        <v>48.252086681863425</v>
      </c>
      <c r="I281" s="2">
        <f>Sorange!E278</f>
        <v>56.27472527472527</v>
      </c>
      <c r="J281" s="2">
        <f>Tyran!D278</f>
        <v>19.409836065573771</v>
      </c>
      <c r="K281" s="2">
        <f>Fardo!D278</f>
        <v>15.704918032786885</v>
      </c>
      <c r="L281" s="2">
        <f>Entworpe!D278</f>
        <v>12.5</v>
      </c>
      <c r="M281">
        <f t="shared" si="6"/>
        <v>40</v>
      </c>
    </row>
    <row r="282" spans="1:13" x14ac:dyDescent="0.2">
      <c r="A282">
        <v>278</v>
      </c>
      <c r="B282">
        <f>Calopeia!B279</f>
        <v>26</v>
      </c>
      <c r="C282">
        <f>Sorange!B279</f>
        <v>0</v>
      </c>
      <c r="D282">
        <f>Tyran!B279</f>
        <v>0</v>
      </c>
      <c r="E282">
        <f>Fardo!B279</f>
        <v>0</v>
      </c>
      <c r="F282" s="2">
        <f>Entworpe!B279</f>
        <v>0</v>
      </c>
      <c r="G282">
        <v>1008</v>
      </c>
      <c r="H282" s="2">
        <f>Calopeia!F279</f>
        <v>48.252086681863425</v>
      </c>
      <c r="I282" s="2">
        <f>Sorange!E279</f>
        <v>56.427376970855235</v>
      </c>
      <c r="J282" s="2">
        <f>Tyran!D279</f>
        <v>19.409836065573771</v>
      </c>
      <c r="K282" s="2">
        <f>Fardo!D279</f>
        <v>15.704918032786885</v>
      </c>
      <c r="L282" s="2">
        <f>Entworpe!D279</f>
        <v>12.5</v>
      </c>
      <c r="M282">
        <f t="shared" si="6"/>
        <v>26</v>
      </c>
    </row>
    <row r="283" spans="1:13" x14ac:dyDescent="0.2">
      <c r="A283">
        <v>279</v>
      </c>
      <c r="B283">
        <f>Calopeia!B280</f>
        <v>16</v>
      </c>
      <c r="C283">
        <f>Sorange!B280</f>
        <v>0</v>
      </c>
      <c r="D283">
        <f>Tyran!B280</f>
        <v>0</v>
      </c>
      <c r="E283">
        <f>Fardo!B280</f>
        <v>0</v>
      </c>
      <c r="F283" s="2">
        <f>Entworpe!B280</f>
        <v>0</v>
      </c>
      <c r="G283">
        <v>1009</v>
      </c>
      <c r="H283" s="2">
        <f>Calopeia!F280</f>
        <v>48.252086681863425</v>
      </c>
      <c r="I283" s="2">
        <f>Sorange!E280</f>
        <v>56.580028666985186</v>
      </c>
      <c r="J283" s="2">
        <f>Tyran!D280</f>
        <v>19.409836065573771</v>
      </c>
      <c r="K283" s="2">
        <f>Fardo!D280</f>
        <v>15.704918032786885</v>
      </c>
      <c r="L283" s="2">
        <f>Entworpe!D280</f>
        <v>12.5</v>
      </c>
      <c r="M283">
        <f t="shared" si="6"/>
        <v>16</v>
      </c>
    </row>
    <row r="284" spans="1:13" x14ac:dyDescent="0.2">
      <c r="A284">
        <v>280</v>
      </c>
      <c r="B284">
        <f>Calopeia!B281</f>
        <v>24</v>
      </c>
      <c r="C284">
        <f>Sorange!B281</f>
        <v>0</v>
      </c>
      <c r="D284">
        <f>Tyran!B281</f>
        <v>0</v>
      </c>
      <c r="E284">
        <f>Fardo!B281</f>
        <v>0</v>
      </c>
      <c r="F284" s="2">
        <f>Entworpe!B281</f>
        <v>0</v>
      </c>
      <c r="G284">
        <v>1010</v>
      </c>
      <c r="H284" s="2">
        <f>Calopeia!F281</f>
        <v>48.252086681863425</v>
      </c>
      <c r="I284" s="2">
        <f>Sorange!E281</f>
        <v>56.732680363115136</v>
      </c>
      <c r="J284" s="2">
        <f>Tyran!D281</f>
        <v>19.409836065573771</v>
      </c>
      <c r="K284" s="2">
        <f>Fardo!D281</f>
        <v>15.704918032786885</v>
      </c>
      <c r="L284" s="2">
        <f>Entworpe!D281</f>
        <v>12.5</v>
      </c>
      <c r="M284">
        <f t="shared" si="6"/>
        <v>24</v>
      </c>
    </row>
    <row r="285" spans="1:13" x14ac:dyDescent="0.2">
      <c r="A285">
        <v>281</v>
      </c>
      <c r="B285">
        <f>Calopeia!B282</f>
        <v>38</v>
      </c>
      <c r="C285">
        <f>Sorange!B282</f>
        <v>0</v>
      </c>
      <c r="D285">
        <f>Tyran!B282</f>
        <v>0</v>
      </c>
      <c r="E285">
        <f>Fardo!B282</f>
        <v>0</v>
      </c>
      <c r="F285" s="2">
        <f>Entworpe!B282</f>
        <v>0</v>
      </c>
      <c r="G285">
        <v>1011</v>
      </c>
      <c r="H285" s="2">
        <f>Calopeia!F282</f>
        <v>48.252086681863425</v>
      </c>
      <c r="I285" s="2">
        <f>Sorange!E282</f>
        <v>56.885332059245101</v>
      </c>
      <c r="J285" s="2">
        <f>Tyran!D282</f>
        <v>19.409836065573771</v>
      </c>
      <c r="K285" s="2">
        <f>Fardo!D282</f>
        <v>15.704918032786885</v>
      </c>
      <c r="L285" s="2">
        <f>Entworpe!D282</f>
        <v>12.5</v>
      </c>
      <c r="M285">
        <f t="shared" si="6"/>
        <v>38</v>
      </c>
    </row>
    <row r="286" spans="1:13" x14ac:dyDescent="0.2">
      <c r="A286">
        <v>282</v>
      </c>
      <c r="B286">
        <f>Calopeia!B283</f>
        <v>33</v>
      </c>
      <c r="C286">
        <f>Sorange!B283</f>
        <v>0</v>
      </c>
      <c r="D286">
        <f>Tyran!B283</f>
        <v>0</v>
      </c>
      <c r="E286">
        <f>Fardo!B283</f>
        <v>0</v>
      </c>
      <c r="F286" s="2">
        <f>Entworpe!B283</f>
        <v>0</v>
      </c>
      <c r="G286">
        <v>1012</v>
      </c>
      <c r="H286" s="2">
        <f>Calopeia!F283</f>
        <v>48.252086681863425</v>
      </c>
      <c r="I286" s="2">
        <f>Sorange!E283</f>
        <v>57.037983755375052</v>
      </c>
      <c r="J286" s="2">
        <f>Tyran!D283</f>
        <v>19.409836065573771</v>
      </c>
      <c r="K286" s="2">
        <f>Fardo!D283</f>
        <v>15.704918032786885</v>
      </c>
      <c r="L286" s="2">
        <f>Entworpe!D283</f>
        <v>12.5</v>
      </c>
      <c r="M286">
        <f t="shared" si="6"/>
        <v>33</v>
      </c>
    </row>
    <row r="287" spans="1:13" x14ac:dyDescent="0.2">
      <c r="A287">
        <v>283</v>
      </c>
      <c r="B287">
        <f>Calopeia!B284</f>
        <v>38</v>
      </c>
      <c r="C287">
        <f>Sorange!B284</f>
        <v>0</v>
      </c>
      <c r="D287">
        <f>Tyran!B284</f>
        <v>0</v>
      </c>
      <c r="E287">
        <f>Fardo!B284</f>
        <v>0</v>
      </c>
      <c r="F287" s="2">
        <f>Entworpe!B284</f>
        <v>0</v>
      </c>
      <c r="G287">
        <v>1013</v>
      </c>
      <c r="H287" s="2">
        <f>Calopeia!F284</f>
        <v>48.252086681863425</v>
      </c>
      <c r="I287" s="2">
        <f>Sorange!E284</f>
        <v>57.190635451505017</v>
      </c>
      <c r="J287" s="2">
        <f>Tyran!D284</f>
        <v>19.409836065573771</v>
      </c>
      <c r="K287" s="2">
        <f>Fardo!D284</f>
        <v>15.704918032786885</v>
      </c>
      <c r="L287" s="2">
        <f>Entworpe!D284</f>
        <v>12.5</v>
      </c>
      <c r="M287">
        <f t="shared" si="6"/>
        <v>38</v>
      </c>
    </row>
    <row r="288" spans="1:13" x14ac:dyDescent="0.2">
      <c r="A288">
        <v>284</v>
      </c>
      <c r="B288">
        <f>Calopeia!B285</f>
        <v>67</v>
      </c>
      <c r="C288">
        <f>Sorange!B285</f>
        <v>0</v>
      </c>
      <c r="D288">
        <f>Tyran!B285</f>
        <v>0</v>
      </c>
      <c r="E288">
        <f>Fardo!B285</f>
        <v>0</v>
      </c>
      <c r="F288" s="2">
        <f>Entworpe!B285</f>
        <v>0</v>
      </c>
      <c r="G288">
        <v>1014</v>
      </c>
      <c r="H288" s="2">
        <f>Calopeia!F285</f>
        <v>48.252086681863425</v>
      </c>
      <c r="I288" s="2">
        <f>Sorange!E285</f>
        <v>57.343287147634967</v>
      </c>
      <c r="J288" s="2">
        <f>Tyran!D285</f>
        <v>19.409836065573771</v>
      </c>
      <c r="K288" s="2">
        <f>Fardo!D285</f>
        <v>15.704918032786885</v>
      </c>
      <c r="L288" s="2">
        <f>Entworpe!D285</f>
        <v>12.5</v>
      </c>
      <c r="M288">
        <f t="shared" si="6"/>
        <v>67</v>
      </c>
    </row>
    <row r="289" spans="1:13" x14ac:dyDescent="0.2">
      <c r="A289">
        <v>285</v>
      </c>
      <c r="B289">
        <f>Calopeia!B286</f>
        <v>22</v>
      </c>
      <c r="C289">
        <f>Sorange!B286</f>
        <v>0</v>
      </c>
      <c r="D289">
        <f>Tyran!B286</f>
        <v>0</v>
      </c>
      <c r="E289">
        <f>Fardo!B286</f>
        <v>0</v>
      </c>
      <c r="F289" s="2">
        <f>Entworpe!B286</f>
        <v>0</v>
      </c>
      <c r="G289">
        <v>1015</v>
      </c>
      <c r="H289" s="2">
        <f>Calopeia!F286</f>
        <v>48.252086681863425</v>
      </c>
      <c r="I289" s="2">
        <f>Sorange!E286</f>
        <v>57.495938843764932</v>
      </c>
      <c r="J289" s="2">
        <f>Tyran!D286</f>
        <v>19.409836065573771</v>
      </c>
      <c r="K289" s="2">
        <f>Fardo!D286</f>
        <v>15.704918032786885</v>
      </c>
      <c r="L289" s="2">
        <f>Entworpe!D286</f>
        <v>12.5</v>
      </c>
      <c r="M289">
        <f t="shared" si="6"/>
        <v>22</v>
      </c>
    </row>
    <row r="290" spans="1:13" x14ac:dyDescent="0.2">
      <c r="A290">
        <v>286</v>
      </c>
      <c r="B290">
        <f>Calopeia!B287</f>
        <v>12</v>
      </c>
      <c r="C290">
        <f>Sorange!B287</f>
        <v>0</v>
      </c>
      <c r="D290">
        <f>Tyran!B287</f>
        <v>0</v>
      </c>
      <c r="E290">
        <f>Fardo!B287</f>
        <v>0</v>
      </c>
      <c r="F290" s="2">
        <f>Entworpe!B287</f>
        <v>0</v>
      </c>
      <c r="G290">
        <v>1016</v>
      </c>
      <c r="H290" s="2">
        <f>Calopeia!F287</f>
        <v>48.252086681863425</v>
      </c>
      <c r="I290" s="2">
        <f>Sorange!E287</f>
        <v>57.648590539894883</v>
      </c>
      <c r="J290" s="2">
        <f>Tyran!D287</f>
        <v>19.409836065573771</v>
      </c>
      <c r="K290" s="2">
        <f>Fardo!D287</f>
        <v>15.704918032786885</v>
      </c>
      <c r="L290" s="2">
        <f>Entworpe!D287</f>
        <v>12.5</v>
      </c>
      <c r="M290">
        <f t="shared" si="6"/>
        <v>12</v>
      </c>
    </row>
    <row r="291" spans="1:13" x14ac:dyDescent="0.2">
      <c r="A291">
        <v>287</v>
      </c>
      <c r="B291">
        <f>Calopeia!B288</f>
        <v>33</v>
      </c>
      <c r="C291">
        <f>Sorange!B288</f>
        <v>0</v>
      </c>
      <c r="D291">
        <f>Tyran!B288</f>
        <v>0</v>
      </c>
      <c r="E291">
        <f>Fardo!B288</f>
        <v>0</v>
      </c>
      <c r="F291" s="2">
        <f>Entworpe!B288</f>
        <v>0</v>
      </c>
      <c r="G291">
        <v>1017</v>
      </c>
      <c r="H291" s="2">
        <f>Calopeia!F288</f>
        <v>48.252086681863425</v>
      </c>
      <c r="I291" s="2">
        <f>Sorange!E288</f>
        <v>57.801242236024848</v>
      </c>
      <c r="J291" s="2">
        <f>Tyran!D288</f>
        <v>19.409836065573771</v>
      </c>
      <c r="K291" s="2">
        <f>Fardo!D288</f>
        <v>15.704918032786885</v>
      </c>
      <c r="L291" s="2">
        <f>Entworpe!D288</f>
        <v>12.5</v>
      </c>
      <c r="M291">
        <f t="shared" si="6"/>
        <v>33</v>
      </c>
    </row>
    <row r="292" spans="1:13" x14ac:dyDescent="0.2">
      <c r="A292">
        <v>288</v>
      </c>
      <c r="B292">
        <f>Calopeia!B289</f>
        <v>33</v>
      </c>
      <c r="C292">
        <f>Sorange!B289</f>
        <v>0</v>
      </c>
      <c r="D292">
        <f>Tyran!B289</f>
        <v>0</v>
      </c>
      <c r="E292">
        <f>Fardo!B289</f>
        <v>0</v>
      </c>
      <c r="F292" s="2">
        <f>Entworpe!B289</f>
        <v>0</v>
      </c>
      <c r="G292">
        <v>1018</v>
      </c>
      <c r="H292" s="2">
        <f>Calopeia!F289</f>
        <v>48.252086681863425</v>
      </c>
      <c r="I292" s="2">
        <f>Sorange!E289</f>
        <v>57.953893932154799</v>
      </c>
      <c r="J292" s="2">
        <f>Tyran!D289</f>
        <v>19.409836065573771</v>
      </c>
      <c r="K292" s="2">
        <f>Fardo!D289</f>
        <v>15.704918032786885</v>
      </c>
      <c r="L292" s="2">
        <f>Entworpe!D289</f>
        <v>12.5</v>
      </c>
      <c r="M292">
        <f t="shared" si="6"/>
        <v>33</v>
      </c>
    </row>
    <row r="293" spans="1:13" x14ac:dyDescent="0.2">
      <c r="A293">
        <v>289</v>
      </c>
      <c r="B293">
        <f>Calopeia!B290</f>
        <v>44</v>
      </c>
      <c r="C293">
        <f>Sorange!B290</f>
        <v>0</v>
      </c>
      <c r="D293">
        <f>Tyran!B290</f>
        <v>0</v>
      </c>
      <c r="E293">
        <f>Fardo!B290</f>
        <v>0</v>
      </c>
      <c r="F293" s="2">
        <f>Entworpe!B290</f>
        <v>0</v>
      </c>
      <c r="G293">
        <v>1019</v>
      </c>
      <c r="H293" s="2">
        <f>Calopeia!F290</f>
        <v>48.252086681863425</v>
      </c>
      <c r="I293" s="2">
        <f>Sorange!E290</f>
        <v>58.106545628284749</v>
      </c>
      <c r="J293" s="2">
        <f>Tyran!D290</f>
        <v>19.409836065573771</v>
      </c>
      <c r="K293" s="2">
        <f>Fardo!D290</f>
        <v>15.704918032786885</v>
      </c>
      <c r="L293" s="2">
        <f>Entworpe!D290</f>
        <v>12.5</v>
      </c>
      <c r="M293">
        <f t="shared" si="6"/>
        <v>44</v>
      </c>
    </row>
    <row r="294" spans="1:13" x14ac:dyDescent="0.2">
      <c r="A294">
        <v>290</v>
      </c>
      <c r="B294">
        <f>Calopeia!B291</f>
        <v>27</v>
      </c>
      <c r="C294">
        <f>Sorange!B291</f>
        <v>0</v>
      </c>
      <c r="D294">
        <f>Tyran!B291</f>
        <v>0</v>
      </c>
      <c r="E294">
        <f>Fardo!B291</f>
        <v>0</v>
      </c>
      <c r="F294" s="2">
        <f>Entworpe!B291</f>
        <v>0</v>
      </c>
      <c r="G294">
        <v>1020</v>
      </c>
      <c r="H294" s="2">
        <f>Calopeia!F291</f>
        <v>48.252086681863425</v>
      </c>
      <c r="I294" s="2">
        <f>Sorange!E291</f>
        <v>58.259197324414714</v>
      </c>
      <c r="J294" s="2">
        <f>Tyran!D291</f>
        <v>19.409836065573771</v>
      </c>
      <c r="K294" s="2">
        <f>Fardo!D291</f>
        <v>15.704918032786885</v>
      </c>
      <c r="L294" s="2">
        <f>Entworpe!D291</f>
        <v>12.5</v>
      </c>
      <c r="M294">
        <f t="shared" si="6"/>
        <v>27</v>
      </c>
    </row>
    <row r="295" spans="1:13" x14ac:dyDescent="0.2">
      <c r="A295">
        <v>291</v>
      </c>
      <c r="B295">
        <f>Calopeia!B292</f>
        <v>58</v>
      </c>
      <c r="C295">
        <f>Sorange!B292</f>
        <v>0</v>
      </c>
      <c r="D295">
        <f>Tyran!B292</f>
        <v>0</v>
      </c>
      <c r="E295">
        <f>Fardo!B292</f>
        <v>0</v>
      </c>
      <c r="F295" s="2">
        <f>Entworpe!B292</f>
        <v>0</v>
      </c>
      <c r="G295">
        <v>1021</v>
      </c>
      <c r="H295" s="2">
        <f>Calopeia!F292</f>
        <v>48.252086681863425</v>
      </c>
      <c r="I295" s="2">
        <f>Sorange!E292</f>
        <v>58.411849020544665</v>
      </c>
      <c r="J295" s="2">
        <f>Tyran!D292</f>
        <v>19.409836065573771</v>
      </c>
      <c r="K295" s="2">
        <f>Fardo!D292</f>
        <v>15.704918032786885</v>
      </c>
      <c r="L295" s="2">
        <f>Entworpe!D292</f>
        <v>12.5</v>
      </c>
      <c r="M295">
        <f t="shared" si="6"/>
        <v>58</v>
      </c>
    </row>
    <row r="296" spans="1:13" x14ac:dyDescent="0.2">
      <c r="A296">
        <v>292</v>
      </c>
      <c r="B296">
        <f>Calopeia!B293</f>
        <v>20</v>
      </c>
      <c r="C296">
        <f>Sorange!B293</f>
        <v>0</v>
      </c>
      <c r="D296">
        <f>Tyran!B293</f>
        <v>0</v>
      </c>
      <c r="E296">
        <f>Fardo!B293</f>
        <v>0</v>
      </c>
      <c r="F296" s="2">
        <f>Entworpe!B293</f>
        <v>0</v>
      </c>
      <c r="G296">
        <v>1022</v>
      </c>
      <c r="H296" s="2">
        <f>Calopeia!F293</f>
        <v>48.252086681863425</v>
      </c>
      <c r="I296" s="2">
        <f>Sorange!E293</f>
        <v>58.56450071667463</v>
      </c>
      <c r="J296" s="2">
        <f>Tyran!D293</f>
        <v>19.409836065573771</v>
      </c>
      <c r="K296" s="2">
        <f>Fardo!D293</f>
        <v>15.704918032786885</v>
      </c>
      <c r="L296" s="2">
        <f>Entworpe!D293</f>
        <v>12.5</v>
      </c>
      <c r="M296">
        <f t="shared" si="6"/>
        <v>20</v>
      </c>
    </row>
    <row r="297" spans="1:13" x14ac:dyDescent="0.2">
      <c r="A297">
        <v>293</v>
      </c>
      <c r="B297">
        <f>Calopeia!B294</f>
        <v>29</v>
      </c>
      <c r="C297">
        <f>Sorange!B294</f>
        <v>0</v>
      </c>
      <c r="D297">
        <f>Tyran!B294</f>
        <v>0</v>
      </c>
      <c r="E297">
        <f>Fardo!B294</f>
        <v>0</v>
      </c>
      <c r="F297" s="2">
        <f>Entworpe!B294</f>
        <v>0</v>
      </c>
      <c r="G297">
        <v>1023</v>
      </c>
      <c r="H297" s="2">
        <f>Calopeia!F294</f>
        <v>14.329162124156674</v>
      </c>
      <c r="I297" s="2">
        <f>Sorange!E294</f>
        <v>58.71715241280458</v>
      </c>
      <c r="J297" s="2">
        <f>Tyran!D294</f>
        <v>19.409836065573771</v>
      </c>
      <c r="K297" s="2">
        <f>Fardo!D294</f>
        <v>15.704918032786885</v>
      </c>
      <c r="L297" s="2">
        <f>Entworpe!D294</f>
        <v>12.5</v>
      </c>
      <c r="M297">
        <f t="shared" si="6"/>
        <v>29</v>
      </c>
    </row>
    <row r="298" spans="1:13" x14ac:dyDescent="0.2">
      <c r="A298">
        <v>294</v>
      </c>
      <c r="B298">
        <f>Calopeia!B295</f>
        <v>18</v>
      </c>
      <c r="C298">
        <f>Sorange!B295</f>
        <v>0</v>
      </c>
      <c r="D298">
        <f>Tyran!B295</f>
        <v>0</v>
      </c>
      <c r="E298">
        <f>Fardo!B295</f>
        <v>0</v>
      </c>
      <c r="F298" s="2">
        <f>Entworpe!B295</f>
        <v>0</v>
      </c>
      <c r="G298">
        <v>1024</v>
      </c>
      <c r="H298" s="2">
        <f>Calopeia!F295</f>
        <v>14.329162124156674</v>
      </c>
      <c r="I298" s="2">
        <f>Sorange!E295</f>
        <v>58.869804108934545</v>
      </c>
      <c r="J298" s="2">
        <f>Tyran!D295</f>
        <v>19.409836065573771</v>
      </c>
      <c r="K298" s="2">
        <f>Fardo!D295</f>
        <v>15.704918032786885</v>
      </c>
      <c r="L298" s="2">
        <f>Entworpe!D295</f>
        <v>12.5</v>
      </c>
      <c r="M298">
        <f t="shared" si="6"/>
        <v>18</v>
      </c>
    </row>
    <row r="299" spans="1:13" x14ac:dyDescent="0.2">
      <c r="A299">
        <v>295</v>
      </c>
      <c r="B299">
        <f>Calopeia!B296</f>
        <v>62</v>
      </c>
      <c r="C299">
        <f>Sorange!B296</f>
        <v>0</v>
      </c>
      <c r="D299">
        <f>Tyran!B296</f>
        <v>0</v>
      </c>
      <c r="E299">
        <f>Fardo!B296</f>
        <v>0</v>
      </c>
      <c r="F299" s="2">
        <f>Entworpe!B296</f>
        <v>0</v>
      </c>
      <c r="G299">
        <v>1025</v>
      </c>
      <c r="H299" s="2">
        <f>Calopeia!F296</f>
        <v>14.329162124156674</v>
      </c>
      <c r="I299" s="2">
        <f>Sorange!E296</f>
        <v>59.022455805064496</v>
      </c>
      <c r="J299" s="2">
        <f>Tyran!D296</f>
        <v>19.409836065573771</v>
      </c>
      <c r="K299" s="2">
        <f>Fardo!D296</f>
        <v>15.704918032786885</v>
      </c>
      <c r="L299" s="2">
        <f>Entworpe!D296</f>
        <v>12.5</v>
      </c>
      <c r="M299">
        <f t="shared" si="6"/>
        <v>62</v>
      </c>
    </row>
    <row r="300" spans="1:13" x14ac:dyDescent="0.2">
      <c r="A300">
        <v>296</v>
      </c>
      <c r="B300">
        <f>Calopeia!B297</f>
        <v>10</v>
      </c>
      <c r="C300">
        <f>Sorange!B297</f>
        <v>0</v>
      </c>
      <c r="D300">
        <f>Tyran!B297</f>
        <v>0</v>
      </c>
      <c r="E300">
        <f>Fardo!B297</f>
        <v>0</v>
      </c>
      <c r="F300" s="2">
        <f>Entworpe!B297</f>
        <v>0</v>
      </c>
      <c r="G300">
        <v>1026</v>
      </c>
      <c r="H300" s="2">
        <f>Calopeia!F297</f>
        <v>14.329162124156674</v>
      </c>
      <c r="I300" s="2">
        <f>Sorange!E297</f>
        <v>59.175107501194461</v>
      </c>
      <c r="J300" s="2">
        <f>Tyran!D297</f>
        <v>19.409836065573771</v>
      </c>
      <c r="K300" s="2">
        <f>Fardo!D297</f>
        <v>15.704918032786885</v>
      </c>
      <c r="L300" s="2">
        <f>Entworpe!D297</f>
        <v>12.5</v>
      </c>
      <c r="M300">
        <f t="shared" si="6"/>
        <v>10</v>
      </c>
    </row>
    <row r="301" spans="1:13" x14ac:dyDescent="0.2">
      <c r="A301">
        <v>297</v>
      </c>
      <c r="B301">
        <f>Calopeia!B298</f>
        <v>4</v>
      </c>
      <c r="C301">
        <f>Sorange!B298</f>
        <v>0</v>
      </c>
      <c r="D301">
        <f>Tyran!B298</f>
        <v>0</v>
      </c>
      <c r="E301">
        <f>Fardo!B298</f>
        <v>0</v>
      </c>
      <c r="F301" s="2">
        <f>Entworpe!B298</f>
        <v>0</v>
      </c>
      <c r="G301">
        <v>1027</v>
      </c>
      <c r="H301" s="2">
        <f>Calopeia!F298</f>
        <v>14.329162124156674</v>
      </c>
      <c r="I301" s="2">
        <f>Sorange!E298</f>
        <v>59.327759197324411</v>
      </c>
      <c r="J301" s="2">
        <f>Tyran!D298</f>
        <v>19.409836065573771</v>
      </c>
      <c r="K301" s="2">
        <f>Fardo!D298</f>
        <v>15.704918032786885</v>
      </c>
      <c r="L301" s="2">
        <f>Entworpe!D298</f>
        <v>12.5</v>
      </c>
      <c r="M301">
        <f t="shared" si="6"/>
        <v>4</v>
      </c>
    </row>
    <row r="302" spans="1:13" x14ac:dyDescent="0.2">
      <c r="A302">
        <v>298</v>
      </c>
      <c r="B302">
        <f>Calopeia!B299</f>
        <v>23</v>
      </c>
      <c r="C302">
        <f>Sorange!B299</f>
        <v>0</v>
      </c>
      <c r="D302">
        <f>Tyran!B299</f>
        <v>0</v>
      </c>
      <c r="E302">
        <f>Fardo!B299</f>
        <v>0</v>
      </c>
      <c r="F302" s="2">
        <f>Entworpe!B299</f>
        <v>0</v>
      </c>
      <c r="G302">
        <v>1028</v>
      </c>
      <c r="H302" s="2">
        <f>Calopeia!F299</f>
        <v>14.329162124156674</v>
      </c>
      <c r="I302" s="2">
        <f>Sorange!E299</f>
        <v>59.480410893454362</v>
      </c>
      <c r="J302" s="2">
        <f>Tyran!D299</f>
        <v>19.409836065573771</v>
      </c>
      <c r="K302" s="2">
        <f>Fardo!D299</f>
        <v>15.704918032786885</v>
      </c>
      <c r="L302" s="2">
        <f>Entworpe!D299</f>
        <v>12.5</v>
      </c>
      <c r="M302">
        <f t="shared" si="6"/>
        <v>23</v>
      </c>
    </row>
    <row r="303" spans="1:13" x14ac:dyDescent="0.2">
      <c r="A303">
        <v>299</v>
      </c>
      <c r="B303">
        <f>Calopeia!B300</f>
        <v>14</v>
      </c>
      <c r="C303">
        <f>Sorange!B300</f>
        <v>0</v>
      </c>
      <c r="D303">
        <f>Tyran!B300</f>
        <v>0</v>
      </c>
      <c r="E303">
        <f>Fardo!B300</f>
        <v>0</v>
      </c>
      <c r="F303" s="2">
        <f>Entworpe!B300</f>
        <v>0</v>
      </c>
      <c r="G303">
        <v>1029</v>
      </c>
      <c r="H303" s="2">
        <f>Calopeia!F300</f>
        <v>14.329162124156674</v>
      </c>
      <c r="I303" s="2">
        <f>Sorange!E300</f>
        <v>59.633062589584327</v>
      </c>
      <c r="J303" s="2">
        <f>Tyran!D300</f>
        <v>19.409836065573771</v>
      </c>
      <c r="K303" s="2">
        <f>Fardo!D300</f>
        <v>15.704918032786885</v>
      </c>
      <c r="L303" s="2">
        <f>Entworpe!D300</f>
        <v>12.5</v>
      </c>
      <c r="M303">
        <f t="shared" si="6"/>
        <v>14</v>
      </c>
    </row>
    <row r="304" spans="1:13" x14ac:dyDescent="0.2">
      <c r="A304">
        <v>300</v>
      </c>
      <c r="B304">
        <f>Calopeia!B301</f>
        <v>34</v>
      </c>
      <c r="C304">
        <f>Sorange!B301</f>
        <v>0</v>
      </c>
      <c r="D304">
        <f>Tyran!B301</f>
        <v>0</v>
      </c>
      <c r="E304">
        <f>Fardo!B301</f>
        <v>0</v>
      </c>
      <c r="F304" s="2">
        <f>Entworpe!B301</f>
        <v>0</v>
      </c>
      <c r="G304">
        <v>1030</v>
      </c>
      <c r="H304" s="2">
        <f>Calopeia!F301</f>
        <v>14.329162124156674</v>
      </c>
      <c r="I304" s="2">
        <f>Sorange!E301</f>
        <v>59.785714285714278</v>
      </c>
      <c r="J304" s="2">
        <f>Tyran!D301</f>
        <v>19.409836065573771</v>
      </c>
      <c r="K304" s="2">
        <f>Fardo!D301</f>
        <v>15.704918032786885</v>
      </c>
      <c r="L304" s="2">
        <f>Entworpe!D301</f>
        <v>12.5</v>
      </c>
      <c r="M304">
        <f t="shared" si="6"/>
        <v>34</v>
      </c>
    </row>
    <row r="305" spans="1:13" x14ac:dyDescent="0.2">
      <c r="A305">
        <v>301</v>
      </c>
      <c r="B305">
        <f>Calopeia!B302</f>
        <v>10</v>
      </c>
      <c r="C305">
        <f>Sorange!B302</f>
        <v>0</v>
      </c>
      <c r="D305">
        <f>Tyran!B302</f>
        <v>0</v>
      </c>
      <c r="E305">
        <f>Fardo!B302</f>
        <v>0</v>
      </c>
      <c r="F305" s="2">
        <f>Entworpe!B302</f>
        <v>0</v>
      </c>
      <c r="G305">
        <v>1031</v>
      </c>
      <c r="H305" s="2">
        <f>Calopeia!F302</f>
        <v>14.329162124156674</v>
      </c>
      <c r="I305" s="2">
        <f>Sorange!E302</f>
        <v>59.938365981844242</v>
      </c>
      <c r="J305" s="2">
        <f>Tyran!D302</f>
        <v>19.409836065573771</v>
      </c>
      <c r="K305" s="2">
        <f>Fardo!D302</f>
        <v>15.704918032786885</v>
      </c>
      <c r="L305" s="2">
        <f>Entworpe!D302</f>
        <v>12.5</v>
      </c>
      <c r="M305">
        <f t="shared" si="6"/>
        <v>10</v>
      </c>
    </row>
    <row r="306" spans="1:13" x14ac:dyDescent="0.2">
      <c r="A306">
        <v>302</v>
      </c>
      <c r="B306">
        <f>Calopeia!B303</f>
        <v>10</v>
      </c>
      <c r="C306">
        <f>Sorange!B303</f>
        <v>0</v>
      </c>
      <c r="D306">
        <f>Tyran!B303</f>
        <v>0</v>
      </c>
      <c r="E306">
        <f>Fardo!B303</f>
        <v>0</v>
      </c>
      <c r="F306" s="2">
        <f>Entworpe!B303</f>
        <v>0</v>
      </c>
      <c r="G306">
        <v>1032</v>
      </c>
      <c r="H306" s="2">
        <f>Calopeia!F303</f>
        <v>14.329162124156674</v>
      </c>
      <c r="I306" s="2">
        <f>Sorange!E303</f>
        <v>60.091017677974193</v>
      </c>
      <c r="J306" s="2">
        <f>Tyran!D303</f>
        <v>19.409836065573771</v>
      </c>
      <c r="K306" s="2">
        <f>Fardo!D303</f>
        <v>15.704918032786885</v>
      </c>
      <c r="L306" s="2">
        <f>Entworpe!D303</f>
        <v>12.5</v>
      </c>
      <c r="M306">
        <f t="shared" si="6"/>
        <v>10</v>
      </c>
    </row>
    <row r="307" spans="1:13" x14ac:dyDescent="0.2">
      <c r="A307">
        <v>303</v>
      </c>
      <c r="B307">
        <f>Calopeia!B304</f>
        <v>14</v>
      </c>
      <c r="C307">
        <f>Sorange!B304</f>
        <v>0</v>
      </c>
      <c r="D307">
        <f>Tyran!B304</f>
        <v>0</v>
      </c>
      <c r="E307">
        <f>Fardo!B304</f>
        <v>0</v>
      </c>
      <c r="F307" s="2">
        <f>Entworpe!B304</f>
        <v>0</v>
      </c>
      <c r="G307">
        <v>1033</v>
      </c>
      <c r="H307" s="2">
        <f>Calopeia!F304</f>
        <v>14.329162124156674</v>
      </c>
      <c r="I307" s="2">
        <f>Sorange!E304</f>
        <v>60.243669374104158</v>
      </c>
      <c r="J307" s="2">
        <f>Tyran!D304</f>
        <v>19.409836065573771</v>
      </c>
      <c r="K307" s="2">
        <f>Fardo!D304</f>
        <v>15.704918032786885</v>
      </c>
      <c r="L307" s="2">
        <f>Entworpe!D304</f>
        <v>12.5</v>
      </c>
      <c r="M307">
        <f t="shared" si="6"/>
        <v>14</v>
      </c>
    </row>
    <row r="308" spans="1:13" x14ac:dyDescent="0.2">
      <c r="A308">
        <v>304</v>
      </c>
      <c r="B308">
        <f>Calopeia!B305</f>
        <v>16</v>
      </c>
      <c r="C308">
        <f>Sorange!B305</f>
        <v>0</v>
      </c>
      <c r="D308">
        <f>Tyran!B305</f>
        <v>0</v>
      </c>
      <c r="E308">
        <f>Fardo!B305</f>
        <v>0</v>
      </c>
      <c r="F308" s="2">
        <f>Entworpe!B305</f>
        <v>0</v>
      </c>
      <c r="G308">
        <v>1034</v>
      </c>
      <c r="H308" s="2">
        <f>Calopeia!F305</f>
        <v>14.329162124156674</v>
      </c>
      <c r="I308" s="2">
        <f>Sorange!E305</f>
        <v>60.396321070234109</v>
      </c>
      <c r="J308" s="2">
        <f>Tyran!D305</f>
        <v>19.409836065573771</v>
      </c>
      <c r="K308" s="2">
        <f>Fardo!D305</f>
        <v>15.704918032786885</v>
      </c>
      <c r="L308" s="2">
        <f>Entworpe!D305</f>
        <v>12.5</v>
      </c>
      <c r="M308">
        <f t="shared" si="6"/>
        <v>16</v>
      </c>
    </row>
    <row r="309" spans="1:13" x14ac:dyDescent="0.2">
      <c r="A309">
        <v>305</v>
      </c>
      <c r="B309">
        <f>Calopeia!B306</f>
        <v>10</v>
      </c>
      <c r="C309">
        <f>Sorange!B306</f>
        <v>0</v>
      </c>
      <c r="D309">
        <f>Tyran!B306</f>
        <v>0</v>
      </c>
      <c r="E309">
        <f>Fardo!B306</f>
        <v>0</v>
      </c>
      <c r="F309" s="2">
        <f>Entworpe!B306</f>
        <v>0</v>
      </c>
      <c r="G309">
        <v>1035</v>
      </c>
      <c r="H309" s="2">
        <f>Calopeia!F306</f>
        <v>14.329162124156674</v>
      </c>
      <c r="I309" s="2">
        <f>Sorange!E306</f>
        <v>60.548972766364074</v>
      </c>
      <c r="J309" s="2">
        <f>Tyran!D306</f>
        <v>19.409836065573771</v>
      </c>
      <c r="K309" s="2">
        <f>Fardo!D306</f>
        <v>15.704918032786885</v>
      </c>
      <c r="L309" s="2">
        <f>Entworpe!D306</f>
        <v>12.5</v>
      </c>
      <c r="M309">
        <f t="shared" si="6"/>
        <v>10</v>
      </c>
    </row>
    <row r="310" spans="1:13" x14ac:dyDescent="0.2">
      <c r="A310">
        <v>306</v>
      </c>
      <c r="B310">
        <f>Calopeia!B307</f>
        <v>18</v>
      </c>
      <c r="C310">
        <f>Sorange!B307</f>
        <v>0</v>
      </c>
      <c r="D310">
        <f>Tyran!B307</f>
        <v>0</v>
      </c>
      <c r="E310">
        <f>Fardo!B307</f>
        <v>0</v>
      </c>
      <c r="F310" s="2">
        <f>Entworpe!B307</f>
        <v>0</v>
      </c>
      <c r="G310">
        <v>1036</v>
      </c>
      <c r="H310" s="2">
        <f>Calopeia!F307</f>
        <v>14.329162124156674</v>
      </c>
      <c r="I310" s="2">
        <f>Sorange!E307</f>
        <v>60.701624462494024</v>
      </c>
      <c r="J310" s="2">
        <f>Tyran!D307</f>
        <v>19.409836065573771</v>
      </c>
      <c r="K310" s="2">
        <f>Fardo!D307</f>
        <v>15.704918032786885</v>
      </c>
      <c r="L310" s="2">
        <f>Entworpe!D307</f>
        <v>12.5</v>
      </c>
      <c r="M310">
        <f t="shared" si="6"/>
        <v>18</v>
      </c>
    </row>
    <row r="311" spans="1:13" x14ac:dyDescent="0.2">
      <c r="A311">
        <v>307</v>
      </c>
      <c r="B311">
        <f>Calopeia!B308</f>
        <v>12</v>
      </c>
      <c r="C311">
        <f>Sorange!B308</f>
        <v>0</v>
      </c>
      <c r="D311">
        <f>Tyran!B308</f>
        <v>0</v>
      </c>
      <c r="E311">
        <f>Fardo!B308</f>
        <v>0</v>
      </c>
      <c r="F311" s="2">
        <f>Entworpe!B308</f>
        <v>0</v>
      </c>
      <c r="G311">
        <v>1037</v>
      </c>
      <c r="H311" s="2">
        <f>Calopeia!F308</f>
        <v>14.329162124156674</v>
      </c>
      <c r="I311" s="2">
        <f>Sorange!E308</f>
        <v>60.854276158623975</v>
      </c>
      <c r="J311" s="2">
        <f>Tyran!D308</f>
        <v>19.409836065573771</v>
      </c>
      <c r="K311" s="2">
        <f>Fardo!D308</f>
        <v>15.704918032786885</v>
      </c>
      <c r="L311" s="2">
        <f>Entworpe!D308</f>
        <v>12.5</v>
      </c>
      <c r="M311">
        <f t="shared" si="6"/>
        <v>12</v>
      </c>
    </row>
    <row r="312" spans="1:13" x14ac:dyDescent="0.2">
      <c r="A312">
        <v>308</v>
      </c>
      <c r="B312">
        <f>Calopeia!B309</f>
        <v>36</v>
      </c>
      <c r="C312">
        <f>Sorange!B309</f>
        <v>0</v>
      </c>
      <c r="D312">
        <f>Tyran!B309</f>
        <v>0</v>
      </c>
      <c r="E312">
        <f>Fardo!B309</f>
        <v>0</v>
      </c>
      <c r="F312" s="2">
        <f>Entworpe!B309</f>
        <v>0</v>
      </c>
      <c r="G312">
        <v>1038</v>
      </c>
      <c r="H312" s="2">
        <f>Calopeia!F309</f>
        <v>14.329162124156674</v>
      </c>
      <c r="I312" s="2">
        <f>Sorange!E309</f>
        <v>61.00692785475394</v>
      </c>
      <c r="J312" s="2">
        <f>Tyran!D309</f>
        <v>19.409836065573771</v>
      </c>
      <c r="K312" s="2">
        <f>Fardo!D309</f>
        <v>15.704918032786885</v>
      </c>
      <c r="L312" s="2">
        <f>Entworpe!D309</f>
        <v>12.5</v>
      </c>
      <c r="M312">
        <f t="shared" si="6"/>
        <v>36</v>
      </c>
    </row>
    <row r="313" spans="1:13" x14ac:dyDescent="0.2">
      <c r="A313">
        <v>309</v>
      </c>
      <c r="B313">
        <f>Calopeia!B310</f>
        <v>20</v>
      </c>
      <c r="C313">
        <f>Sorange!B310</f>
        <v>0</v>
      </c>
      <c r="D313">
        <f>Tyran!B310</f>
        <v>0</v>
      </c>
      <c r="E313">
        <f>Fardo!B310</f>
        <v>0</v>
      </c>
      <c r="F313" s="2">
        <f>Entworpe!B310</f>
        <v>0</v>
      </c>
      <c r="G313">
        <v>1039</v>
      </c>
      <c r="H313" s="2">
        <f>Calopeia!F310</f>
        <v>14.329162124156674</v>
      </c>
      <c r="I313" s="2">
        <f>Sorange!E310</f>
        <v>61.15957955088389</v>
      </c>
      <c r="J313" s="2">
        <f>Tyran!D310</f>
        <v>19.409836065573771</v>
      </c>
      <c r="K313" s="2">
        <f>Fardo!D310</f>
        <v>15.704918032786885</v>
      </c>
      <c r="L313" s="2">
        <f>Entworpe!D310</f>
        <v>12.5</v>
      </c>
      <c r="M313">
        <f t="shared" si="6"/>
        <v>20</v>
      </c>
    </row>
    <row r="314" spans="1:13" x14ac:dyDescent="0.2">
      <c r="A314">
        <v>310</v>
      </c>
      <c r="B314">
        <f>Calopeia!B311</f>
        <v>3</v>
      </c>
      <c r="C314">
        <f>Sorange!B311</f>
        <v>0</v>
      </c>
      <c r="D314">
        <f>Tyran!B311</f>
        <v>0</v>
      </c>
      <c r="E314">
        <f>Fardo!B311</f>
        <v>0</v>
      </c>
      <c r="F314" s="2">
        <f>Entworpe!B311</f>
        <v>0</v>
      </c>
      <c r="G314">
        <v>1040</v>
      </c>
      <c r="H314" s="2">
        <f>Calopeia!F311</f>
        <v>14.329162124156674</v>
      </c>
      <c r="I314" s="2">
        <f>Sorange!E311</f>
        <v>61.312231247013855</v>
      </c>
      <c r="J314" s="2">
        <f>Tyran!D311</f>
        <v>19.409836065573771</v>
      </c>
      <c r="K314" s="2">
        <f>Fardo!D311</f>
        <v>15.704918032786885</v>
      </c>
      <c r="L314" s="2">
        <f>Entworpe!D311</f>
        <v>12.5</v>
      </c>
      <c r="M314">
        <f t="shared" si="6"/>
        <v>3</v>
      </c>
    </row>
    <row r="315" spans="1:13" x14ac:dyDescent="0.2">
      <c r="A315">
        <v>311</v>
      </c>
      <c r="B315">
        <f>Calopeia!B312</f>
        <v>12</v>
      </c>
      <c r="C315">
        <f>Sorange!B312</f>
        <v>0</v>
      </c>
      <c r="D315">
        <f>Tyran!B312</f>
        <v>0</v>
      </c>
      <c r="E315">
        <f>Fardo!B312</f>
        <v>0</v>
      </c>
      <c r="F315" s="2">
        <f>Entworpe!B312</f>
        <v>0</v>
      </c>
      <c r="G315">
        <v>1041</v>
      </c>
      <c r="H315" s="2">
        <f>Calopeia!F312</f>
        <v>14.329162124156674</v>
      </c>
      <c r="I315" s="2">
        <f>Sorange!E312</f>
        <v>61.464882943143806</v>
      </c>
      <c r="J315" s="2">
        <f>Tyran!D312</f>
        <v>19.409836065573771</v>
      </c>
      <c r="K315" s="2">
        <f>Fardo!D312</f>
        <v>15.704918032786885</v>
      </c>
      <c r="L315" s="2">
        <f>Entworpe!D312</f>
        <v>12.5</v>
      </c>
      <c r="M315">
        <f t="shared" si="6"/>
        <v>12</v>
      </c>
    </row>
    <row r="316" spans="1:13" x14ac:dyDescent="0.2">
      <c r="A316">
        <v>312</v>
      </c>
      <c r="B316">
        <f>Calopeia!B313</f>
        <v>18</v>
      </c>
      <c r="C316">
        <f>Sorange!B313</f>
        <v>0</v>
      </c>
      <c r="D316">
        <f>Tyran!B313</f>
        <v>0</v>
      </c>
      <c r="E316">
        <f>Fardo!B313</f>
        <v>0</v>
      </c>
      <c r="F316" s="2">
        <f>Entworpe!B313</f>
        <v>0</v>
      </c>
      <c r="G316">
        <v>1042</v>
      </c>
      <c r="H316" s="2">
        <f>Calopeia!F313</f>
        <v>14.329162124156674</v>
      </c>
      <c r="I316" s="2">
        <f>Sorange!E313</f>
        <v>61.617534639273771</v>
      </c>
      <c r="J316" s="2">
        <f>Tyran!D313</f>
        <v>19.409836065573771</v>
      </c>
      <c r="K316" s="2">
        <f>Fardo!D313</f>
        <v>15.704918032786885</v>
      </c>
      <c r="L316" s="2">
        <f>Entworpe!D313</f>
        <v>12.5</v>
      </c>
      <c r="M316">
        <f t="shared" si="6"/>
        <v>18</v>
      </c>
    </row>
    <row r="317" spans="1:13" x14ac:dyDescent="0.2">
      <c r="A317">
        <v>313</v>
      </c>
      <c r="B317">
        <f>Calopeia!B314</f>
        <v>9</v>
      </c>
      <c r="C317">
        <f>Sorange!B314</f>
        <v>0</v>
      </c>
      <c r="D317">
        <f>Tyran!B314</f>
        <v>0</v>
      </c>
      <c r="E317">
        <f>Fardo!B314</f>
        <v>0</v>
      </c>
      <c r="F317" s="2">
        <f>Entworpe!B314</f>
        <v>0</v>
      </c>
      <c r="G317">
        <v>1043</v>
      </c>
      <c r="H317" s="2">
        <f>Calopeia!F314</f>
        <v>14.329162124156674</v>
      </c>
      <c r="I317" s="2">
        <f>Sorange!E314</f>
        <v>61.770186335403722</v>
      </c>
      <c r="J317" s="2">
        <f>Tyran!D314</f>
        <v>19.409836065573771</v>
      </c>
      <c r="K317" s="2">
        <f>Fardo!D314</f>
        <v>15.704918032786885</v>
      </c>
      <c r="L317" s="2">
        <f>Entworpe!D314</f>
        <v>12.5</v>
      </c>
      <c r="M317">
        <f t="shared" si="6"/>
        <v>9</v>
      </c>
    </row>
    <row r="318" spans="1:13" x14ac:dyDescent="0.2">
      <c r="A318">
        <v>314</v>
      </c>
      <c r="B318">
        <f>Calopeia!B315</f>
        <v>6</v>
      </c>
      <c r="C318">
        <f>Sorange!B315</f>
        <v>0</v>
      </c>
      <c r="D318">
        <f>Tyran!B315</f>
        <v>0</v>
      </c>
      <c r="E318">
        <f>Fardo!B315</f>
        <v>0</v>
      </c>
      <c r="F318" s="2">
        <f>Entworpe!B315</f>
        <v>0</v>
      </c>
      <c r="G318">
        <v>1044</v>
      </c>
      <c r="H318" s="2">
        <f>Calopeia!F315</f>
        <v>14.329162124156674</v>
      </c>
      <c r="I318" s="2">
        <f>Sorange!E315</f>
        <v>61.922838031533686</v>
      </c>
      <c r="J318" s="2">
        <f>Tyran!D315</f>
        <v>19.409836065573771</v>
      </c>
      <c r="K318" s="2">
        <f>Fardo!D315</f>
        <v>15.704918032786885</v>
      </c>
      <c r="L318" s="2">
        <f>Entworpe!D315</f>
        <v>12.5</v>
      </c>
      <c r="M318">
        <f t="shared" si="6"/>
        <v>6</v>
      </c>
    </row>
    <row r="319" spans="1:13" x14ac:dyDescent="0.2">
      <c r="A319">
        <v>315</v>
      </c>
      <c r="B319">
        <f>Calopeia!B316</f>
        <v>26</v>
      </c>
      <c r="C319">
        <f>Sorange!B316</f>
        <v>0</v>
      </c>
      <c r="D319">
        <f>Tyran!B316</f>
        <v>0</v>
      </c>
      <c r="E319">
        <f>Fardo!B316</f>
        <v>0</v>
      </c>
      <c r="F319" s="2">
        <f>Entworpe!B316</f>
        <v>0</v>
      </c>
      <c r="G319">
        <v>1045</v>
      </c>
      <c r="H319" s="2">
        <f>Calopeia!F316</f>
        <v>14.329162124156674</v>
      </c>
      <c r="I319" s="2">
        <f>Sorange!E316</f>
        <v>62.075489727663637</v>
      </c>
      <c r="J319" s="2">
        <f>Tyran!D316</f>
        <v>19.409836065573771</v>
      </c>
      <c r="K319" s="2">
        <f>Fardo!D316</f>
        <v>15.704918032786885</v>
      </c>
      <c r="L319" s="2">
        <f>Entworpe!D316</f>
        <v>12.5</v>
      </c>
      <c r="M319">
        <f t="shared" si="6"/>
        <v>26</v>
      </c>
    </row>
    <row r="320" spans="1:13" x14ac:dyDescent="0.2">
      <c r="A320">
        <v>316</v>
      </c>
      <c r="B320">
        <f>Calopeia!B317</f>
        <v>13</v>
      </c>
      <c r="C320">
        <f>Sorange!B317</f>
        <v>0</v>
      </c>
      <c r="D320">
        <f>Tyran!B317</f>
        <v>0</v>
      </c>
      <c r="E320">
        <f>Fardo!B317</f>
        <v>0</v>
      </c>
      <c r="F320" s="2">
        <f>Entworpe!B317</f>
        <v>0</v>
      </c>
      <c r="G320">
        <v>1046</v>
      </c>
      <c r="H320" s="2">
        <f>Calopeia!F317</f>
        <v>14.329162124156674</v>
      </c>
      <c r="I320" s="2">
        <f>Sorange!E317</f>
        <v>62.228141423793588</v>
      </c>
      <c r="J320" s="2">
        <f>Tyran!D317</f>
        <v>19.409836065573771</v>
      </c>
      <c r="K320" s="2">
        <f>Fardo!D317</f>
        <v>15.704918032786885</v>
      </c>
      <c r="L320" s="2">
        <f>Entworpe!D317</f>
        <v>12.5</v>
      </c>
      <c r="M320">
        <f t="shared" si="6"/>
        <v>13</v>
      </c>
    </row>
    <row r="321" spans="1:13" x14ac:dyDescent="0.2">
      <c r="A321">
        <v>317</v>
      </c>
      <c r="B321">
        <f>Calopeia!B318</f>
        <v>16</v>
      </c>
      <c r="C321">
        <f>Sorange!B318</f>
        <v>0</v>
      </c>
      <c r="D321">
        <f>Tyran!B318</f>
        <v>0</v>
      </c>
      <c r="E321">
        <f>Fardo!B318</f>
        <v>0</v>
      </c>
      <c r="F321" s="2">
        <f>Entworpe!B318</f>
        <v>0</v>
      </c>
      <c r="G321">
        <v>1047</v>
      </c>
      <c r="H321" s="2">
        <f>Calopeia!F318</f>
        <v>14.329162124156674</v>
      </c>
      <c r="I321" s="2">
        <f>Sorange!E318</f>
        <v>62.380793119923553</v>
      </c>
      <c r="J321" s="2">
        <f>Tyran!D318</f>
        <v>19.409836065573771</v>
      </c>
      <c r="K321" s="2">
        <f>Fardo!D318</f>
        <v>15.704918032786885</v>
      </c>
      <c r="L321" s="2">
        <f>Entworpe!D318</f>
        <v>12.5</v>
      </c>
      <c r="M321">
        <f t="shared" si="6"/>
        <v>16</v>
      </c>
    </row>
    <row r="322" spans="1:13" x14ac:dyDescent="0.2">
      <c r="A322">
        <v>318</v>
      </c>
      <c r="B322">
        <f>Calopeia!B319</f>
        <v>10</v>
      </c>
      <c r="C322">
        <f>Sorange!B319</f>
        <v>0</v>
      </c>
      <c r="D322">
        <f>Tyran!B319</f>
        <v>0</v>
      </c>
      <c r="E322">
        <f>Fardo!B319</f>
        <v>0</v>
      </c>
      <c r="F322" s="2">
        <f>Entworpe!B319</f>
        <v>0</v>
      </c>
      <c r="G322">
        <v>1048</v>
      </c>
      <c r="H322" s="2">
        <f>Calopeia!F319</f>
        <v>14.329162124156674</v>
      </c>
      <c r="I322" s="2">
        <f>Sorange!E319</f>
        <v>62.533444816053503</v>
      </c>
      <c r="J322" s="2">
        <f>Tyran!D319</f>
        <v>19.409836065573771</v>
      </c>
      <c r="K322" s="2">
        <f>Fardo!D319</f>
        <v>15.704918032786885</v>
      </c>
      <c r="L322" s="2">
        <f>Entworpe!D319</f>
        <v>12.5</v>
      </c>
      <c r="M322">
        <f t="shared" si="6"/>
        <v>10</v>
      </c>
    </row>
    <row r="323" spans="1:13" x14ac:dyDescent="0.2">
      <c r="A323">
        <v>319</v>
      </c>
      <c r="B323">
        <f>Calopeia!B320</f>
        <v>7</v>
      </c>
      <c r="C323">
        <f>Sorange!B320</f>
        <v>0</v>
      </c>
      <c r="D323">
        <f>Tyran!B320</f>
        <v>0</v>
      </c>
      <c r="E323">
        <f>Fardo!B320</f>
        <v>0</v>
      </c>
      <c r="F323" s="2">
        <f>Entworpe!B320</f>
        <v>0</v>
      </c>
      <c r="G323">
        <v>1049</v>
      </c>
      <c r="H323" s="2">
        <f>Calopeia!F320</f>
        <v>14.329162124156674</v>
      </c>
      <c r="I323" s="2">
        <f>Sorange!E320</f>
        <v>62.686096512183468</v>
      </c>
      <c r="J323" s="2">
        <f>Tyran!D320</f>
        <v>19.409836065573771</v>
      </c>
      <c r="K323" s="2">
        <f>Fardo!D320</f>
        <v>15.704918032786885</v>
      </c>
      <c r="L323" s="2">
        <f>Entworpe!D320</f>
        <v>12.5</v>
      </c>
      <c r="M323">
        <f t="shared" si="6"/>
        <v>7</v>
      </c>
    </row>
    <row r="324" spans="1:13" x14ac:dyDescent="0.2">
      <c r="A324">
        <v>320</v>
      </c>
      <c r="B324">
        <f>Calopeia!B321</f>
        <v>6</v>
      </c>
      <c r="C324">
        <f>Sorange!B321</f>
        <v>0</v>
      </c>
      <c r="D324">
        <f>Tyran!B321</f>
        <v>0</v>
      </c>
      <c r="E324">
        <f>Fardo!B321</f>
        <v>0</v>
      </c>
      <c r="F324" s="2">
        <f>Entworpe!B321</f>
        <v>0</v>
      </c>
      <c r="G324">
        <v>1050</v>
      </c>
      <c r="H324" s="2">
        <f>Calopeia!F321</f>
        <v>14.329162124156674</v>
      </c>
      <c r="I324" s="2">
        <f>Sorange!E321</f>
        <v>62.838748208313419</v>
      </c>
      <c r="J324" s="2">
        <f>Tyran!D321</f>
        <v>19.409836065573771</v>
      </c>
      <c r="K324" s="2">
        <f>Fardo!D321</f>
        <v>15.704918032786885</v>
      </c>
      <c r="L324" s="2">
        <f>Entworpe!D321</f>
        <v>12.5</v>
      </c>
      <c r="M324">
        <f t="shared" si="6"/>
        <v>6</v>
      </c>
    </row>
    <row r="325" spans="1:13" x14ac:dyDescent="0.2">
      <c r="A325">
        <v>321</v>
      </c>
      <c r="B325">
        <f>Calopeia!B322</f>
        <v>20</v>
      </c>
      <c r="C325">
        <f>Sorange!B322</f>
        <v>0</v>
      </c>
      <c r="D325">
        <f>Tyran!B322</f>
        <v>0</v>
      </c>
      <c r="E325">
        <f>Fardo!B322</f>
        <v>0</v>
      </c>
      <c r="F325" s="2">
        <f>Entworpe!B322</f>
        <v>0</v>
      </c>
      <c r="G325">
        <v>1051</v>
      </c>
      <c r="H325" s="2">
        <f>Calopeia!F322</f>
        <v>14.329162124156674</v>
      </c>
      <c r="I325" s="2">
        <f>Sorange!E322</f>
        <v>62.991399904443384</v>
      </c>
      <c r="J325" s="2">
        <f>Tyran!D322</f>
        <v>19.409836065573771</v>
      </c>
      <c r="K325" s="2">
        <f>Fardo!D322</f>
        <v>15.704918032786885</v>
      </c>
      <c r="L325" s="2">
        <f>Entworpe!D322</f>
        <v>12.5</v>
      </c>
      <c r="M325">
        <f t="shared" si="6"/>
        <v>20</v>
      </c>
    </row>
    <row r="326" spans="1:13" x14ac:dyDescent="0.2">
      <c r="A326">
        <v>322</v>
      </c>
      <c r="B326">
        <f>Calopeia!B323</f>
        <v>13</v>
      </c>
      <c r="C326">
        <f>Sorange!B323</f>
        <v>0</v>
      </c>
      <c r="D326">
        <f>Tyran!B323</f>
        <v>0</v>
      </c>
      <c r="E326">
        <f>Fardo!B323</f>
        <v>0</v>
      </c>
      <c r="F326" s="2">
        <f>Entworpe!B323</f>
        <v>0</v>
      </c>
      <c r="G326">
        <v>1052</v>
      </c>
      <c r="H326" s="2">
        <f>Calopeia!F323</f>
        <v>14.329162124156674</v>
      </c>
      <c r="I326" s="2">
        <f>Sorange!E323</f>
        <v>63.144051600573334</v>
      </c>
      <c r="J326" s="2">
        <f>Tyran!D323</f>
        <v>19.409836065573771</v>
      </c>
      <c r="K326" s="2">
        <f>Fardo!D323</f>
        <v>15.704918032786885</v>
      </c>
      <c r="L326" s="2">
        <f>Entworpe!D323</f>
        <v>12.5</v>
      </c>
      <c r="M326">
        <f t="shared" ref="M326:M389" si="7">B326+F326</f>
        <v>13</v>
      </c>
    </row>
    <row r="327" spans="1:13" x14ac:dyDescent="0.2">
      <c r="A327">
        <v>323</v>
      </c>
      <c r="B327">
        <f>Calopeia!B324</f>
        <v>6</v>
      </c>
      <c r="C327">
        <f>Sorange!B324</f>
        <v>0</v>
      </c>
      <c r="D327">
        <f>Tyran!B324</f>
        <v>0</v>
      </c>
      <c r="E327">
        <f>Fardo!B324</f>
        <v>0</v>
      </c>
      <c r="F327" s="2">
        <f>Entworpe!B324</f>
        <v>0</v>
      </c>
      <c r="G327">
        <v>1053</v>
      </c>
      <c r="H327" s="2">
        <f>Calopeia!F324</f>
        <v>14.329162124156674</v>
      </c>
      <c r="I327" s="2">
        <f>Sorange!E324</f>
        <v>63.296703296703299</v>
      </c>
      <c r="J327" s="2">
        <f>Tyran!D324</f>
        <v>19.409836065573771</v>
      </c>
      <c r="K327" s="2">
        <f>Fardo!D324</f>
        <v>15.704918032786885</v>
      </c>
      <c r="L327" s="2">
        <f>Entworpe!D324</f>
        <v>12.5</v>
      </c>
      <c r="M327">
        <f t="shared" si="7"/>
        <v>6</v>
      </c>
    </row>
    <row r="328" spans="1:13" x14ac:dyDescent="0.2">
      <c r="A328">
        <v>324</v>
      </c>
      <c r="B328">
        <f>Calopeia!B325</f>
        <v>38</v>
      </c>
      <c r="C328">
        <f>Sorange!B325</f>
        <v>0</v>
      </c>
      <c r="D328">
        <f>Tyran!B325</f>
        <v>0</v>
      </c>
      <c r="E328">
        <f>Fardo!B325</f>
        <v>0</v>
      </c>
      <c r="F328" s="2">
        <f>Entworpe!B325</f>
        <v>0</v>
      </c>
      <c r="G328">
        <v>1054</v>
      </c>
      <c r="H328" s="2">
        <f>Calopeia!F325</f>
        <v>14.329162124156674</v>
      </c>
      <c r="I328" s="2">
        <f>Sorange!E325</f>
        <v>63.44935499283325</v>
      </c>
      <c r="J328" s="2">
        <f>Tyran!D325</f>
        <v>19.409836065573771</v>
      </c>
      <c r="K328" s="2">
        <f>Fardo!D325</f>
        <v>15.704918032786885</v>
      </c>
      <c r="L328" s="2">
        <f>Entworpe!D325</f>
        <v>12.5</v>
      </c>
      <c r="M328">
        <f t="shared" si="7"/>
        <v>38</v>
      </c>
    </row>
    <row r="329" spans="1:13" x14ac:dyDescent="0.2">
      <c r="A329">
        <v>325</v>
      </c>
      <c r="B329">
        <f>Calopeia!B326</f>
        <v>18</v>
      </c>
      <c r="C329">
        <f>Sorange!B326</f>
        <v>0</v>
      </c>
      <c r="D329">
        <f>Tyran!B326</f>
        <v>0</v>
      </c>
      <c r="E329">
        <f>Fardo!B326</f>
        <v>0</v>
      </c>
      <c r="F329" s="2">
        <f>Entworpe!B326</f>
        <v>0</v>
      </c>
      <c r="G329">
        <v>1055</v>
      </c>
      <c r="H329" s="2">
        <f>Calopeia!F326</f>
        <v>14.329162124156674</v>
      </c>
      <c r="I329" s="2">
        <f>Sorange!E326</f>
        <v>63.602006688963201</v>
      </c>
      <c r="J329" s="2">
        <f>Tyran!D326</f>
        <v>19.409836065573771</v>
      </c>
      <c r="K329" s="2">
        <f>Fardo!D326</f>
        <v>15.704918032786885</v>
      </c>
      <c r="L329" s="2">
        <f>Entworpe!D326</f>
        <v>12.5</v>
      </c>
      <c r="M329">
        <f t="shared" si="7"/>
        <v>18</v>
      </c>
    </row>
    <row r="330" spans="1:13" x14ac:dyDescent="0.2">
      <c r="A330">
        <v>326</v>
      </c>
      <c r="B330">
        <f>Calopeia!B327</f>
        <v>7</v>
      </c>
      <c r="C330">
        <f>Sorange!B327</f>
        <v>0</v>
      </c>
      <c r="D330">
        <f>Tyran!B327</f>
        <v>0</v>
      </c>
      <c r="E330">
        <f>Fardo!B327</f>
        <v>0</v>
      </c>
      <c r="F330" s="2">
        <f>Entworpe!B327</f>
        <v>0</v>
      </c>
      <c r="G330">
        <v>1056</v>
      </c>
      <c r="H330" s="2">
        <f>Calopeia!F327</f>
        <v>14.329162124156674</v>
      </c>
      <c r="I330" s="2">
        <f>Sorange!E327</f>
        <v>63.754658385093165</v>
      </c>
      <c r="J330" s="2">
        <f>Tyran!D327</f>
        <v>19.409836065573771</v>
      </c>
      <c r="K330" s="2">
        <f>Fardo!D327</f>
        <v>15.704918032786885</v>
      </c>
      <c r="L330" s="2">
        <f>Entworpe!D327</f>
        <v>12.5</v>
      </c>
      <c r="M330">
        <f t="shared" si="7"/>
        <v>7</v>
      </c>
    </row>
    <row r="331" spans="1:13" x14ac:dyDescent="0.2">
      <c r="A331">
        <v>327</v>
      </c>
      <c r="B331">
        <f>Calopeia!B328</f>
        <v>6</v>
      </c>
      <c r="C331">
        <f>Sorange!B328</f>
        <v>0</v>
      </c>
      <c r="D331">
        <f>Tyran!B328</f>
        <v>0</v>
      </c>
      <c r="E331">
        <f>Fardo!B328</f>
        <v>0</v>
      </c>
      <c r="F331" s="2">
        <f>Entworpe!B328</f>
        <v>0</v>
      </c>
      <c r="G331">
        <v>1057</v>
      </c>
      <c r="H331" s="2">
        <f>Calopeia!F328</f>
        <v>14.329162124156674</v>
      </c>
      <c r="I331" s="2">
        <f>Sorange!E328</f>
        <v>63.907310081223116</v>
      </c>
      <c r="J331" s="2">
        <f>Tyran!D328</f>
        <v>19.409836065573771</v>
      </c>
      <c r="K331" s="2">
        <f>Fardo!D328</f>
        <v>15.704918032786885</v>
      </c>
      <c r="L331" s="2">
        <f>Entworpe!D328</f>
        <v>12.5</v>
      </c>
      <c r="M331">
        <f t="shared" si="7"/>
        <v>6</v>
      </c>
    </row>
    <row r="332" spans="1:13" x14ac:dyDescent="0.2">
      <c r="A332">
        <v>328</v>
      </c>
      <c r="B332">
        <f>Calopeia!B329</f>
        <v>5</v>
      </c>
      <c r="C332">
        <f>Sorange!B329</f>
        <v>0</v>
      </c>
      <c r="D332">
        <f>Tyran!B329</f>
        <v>0</v>
      </c>
      <c r="E332">
        <f>Fardo!B329</f>
        <v>0</v>
      </c>
      <c r="F332" s="2">
        <f>Entworpe!B329</f>
        <v>0</v>
      </c>
      <c r="G332">
        <v>1058</v>
      </c>
      <c r="H332" s="2">
        <f>Calopeia!F329</f>
        <v>14.329162124156674</v>
      </c>
      <c r="I332" s="2">
        <f>Sorange!E329</f>
        <v>64.059961777353081</v>
      </c>
      <c r="J332" s="2">
        <f>Tyran!D329</f>
        <v>19.409836065573771</v>
      </c>
      <c r="K332" s="2">
        <f>Fardo!D329</f>
        <v>15.704918032786885</v>
      </c>
      <c r="L332" s="2">
        <f>Entworpe!D329</f>
        <v>12.5</v>
      </c>
      <c r="M332">
        <f t="shared" si="7"/>
        <v>5</v>
      </c>
    </row>
    <row r="333" spans="1:13" x14ac:dyDescent="0.2">
      <c r="A333">
        <v>329</v>
      </c>
      <c r="B333">
        <f>Calopeia!B330</f>
        <v>13</v>
      </c>
      <c r="C333">
        <f>Sorange!B330</f>
        <v>0</v>
      </c>
      <c r="D333">
        <f>Tyran!B330</f>
        <v>0</v>
      </c>
      <c r="E333">
        <f>Fardo!B330</f>
        <v>0</v>
      </c>
      <c r="F333" s="2">
        <f>Entworpe!B330</f>
        <v>0</v>
      </c>
      <c r="G333">
        <v>1059</v>
      </c>
      <c r="H333" s="2">
        <f>Calopeia!F330</f>
        <v>14.329162124156674</v>
      </c>
      <c r="I333" s="2">
        <f>Sorange!E330</f>
        <v>64.212613473483032</v>
      </c>
      <c r="J333" s="2">
        <f>Tyran!D330</f>
        <v>19.409836065573771</v>
      </c>
      <c r="K333" s="2">
        <f>Fardo!D330</f>
        <v>15.704918032786885</v>
      </c>
      <c r="L333" s="2">
        <f>Entworpe!D330</f>
        <v>12.5</v>
      </c>
      <c r="M333">
        <f t="shared" si="7"/>
        <v>13</v>
      </c>
    </row>
    <row r="334" spans="1:13" x14ac:dyDescent="0.2">
      <c r="A334">
        <v>330</v>
      </c>
      <c r="B334">
        <f>Calopeia!B331</f>
        <v>19</v>
      </c>
      <c r="C334">
        <f>Sorange!B331</f>
        <v>0</v>
      </c>
      <c r="D334">
        <f>Tyran!B331</f>
        <v>0</v>
      </c>
      <c r="E334">
        <f>Fardo!B331</f>
        <v>0</v>
      </c>
      <c r="F334" s="2">
        <f>Entworpe!B331</f>
        <v>0</v>
      </c>
      <c r="G334">
        <v>1060</v>
      </c>
      <c r="H334" s="2">
        <f>Calopeia!F331</f>
        <v>14.329162124156674</v>
      </c>
      <c r="I334" s="2">
        <f>Sorange!E331</f>
        <v>64.365265169612982</v>
      </c>
      <c r="J334" s="2">
        <f>Tyran!D331</f>
        <v>19.409836065573771</v>
      </c>
      <c r="K334" s="2">
        <f>Fardo!D331</f>
        <v>15.704918032786885</v>
      </c>
      <c r="L334" s="2">
        <f>Entworpe!D331</f>
        <v>12.5</v>
      </c>
      <c r="M334">
        <f t="shared" si="7"/>
        <v>19</v>
      </c>
    </row>
    <row r="335" spans="1:13" x14ac:dyDescent="0.2">
      <c r="A335">
        <v>331</v>
      </c>
      <c r="B335">
        <f>Calopeia!B332</f>
        <v>24</v>
      </c>
      <c r="C335">
        <f>Sorange!B332</f>
        <v>0</v>
      </c>
      <c r="D335">
        <f>Tyran!B332</f>
        <v>0</v>
      </c>
      <c r="E335">
        <f>Fardo!B332</f>
        <v>0</v>
      </c>
      <c r="F335" s="2">
        <f>Entworpe!B332</f>
        <v>0</v>
      </c>
      <c r="G335">
        <v>1061</v>
      </c>
      <c r="H335" s="2">
        <f>Calopeia!F332</f>
        <v>14.329162124156674</v>
      </c>
      <c r="I335" s="2">
        <f>Sorange!E332</f>
        <v>64.517916865742947</v>
      </c>
      <c r="J335" s="2">
        <f>Tyran!D332</f>
        <v>19.409836065573771</v>
      </c>
      <c r="K335" s="2">
        <f>Fardo!D332</f>
        <v>15.704918032786885</v>
      </c>
      <c r="L335" s="2">
        <f>Entworpe!D332</f>
        <v>12.5</v>
      </c>
      <c r="M335">
        <f t="shared" si="7"/>
        <v>24</v>
      </c>
    </row>
    <row r="336" spans="1:13" x14ac:dyDescent="0.2">
      <c r="A336">
        <v>332</v>
      </c>
      <c r="B336">
        <f>Calopeia!B333</f>
        <v>6</v>
      </c>
      <c r="C336">
        <f>Sorange!B333</f>
        <v>0</v>
      </c>
      <c r="D336">
        <f>Tyran!B333</f>
        <v>0</v>
      </c>
      <c r="E336">
        <f>Fardo!B333</f>
        <v>0</v>
      </c>
      <c r="F336" s="2">
        <f>Entworpe!B333</f>
        <v>0</v>
      </c>
      <c r="G336">
        <v>1062</v>
      </c>
      <c r="H336" s="2">
        <f>Calopeia!F333</f>
        <v>14.329162124156674</v>
      </c>
      <c r="I336" s="2">
        <f>Sorange!E333</f>
        <v>64.670568561872898</v>
      </c>
      <c r="J336" s="2">
        <f>Tyran!D333</f>
        <v>19.409836065573771</v>
      </c>
      <c r="K336" s="2">
        <f>Fardo!D333</f>
        <v>15.704918032786885</v>
      </c>
      <c r="L336" s="2">
        <f>Entworpe!D333</f>
        <v>12.5</v>
      </c>
      <c r="M336">
        <f t="shared" si="7"/>
        <v>6</v>
      </c>
    </row>
    <row r="337" spans="1:13" x14ac:dyDescent="0.2">
      <c r="A337">
        <v>333</v>
      </c>
      <c r="B337">
        <f>Calopeia!B334</f>
        <v>18</v>
      </c>
      <c r="C337">
        <f>Sorange!B334</f>
        <v>0</v>
      </c>
      <c r="D337">
        <f>Tyran!B334</f>
        <v>0</v>
      </c>
      <c r="E337">
        <f>Fardo!B334</f>
        <v>0</v>
      </c>
      <c r="F337" s="2">
        <f>Entworpe!B334</f>
        <v>0</v>
      </c>
      <c r="G337">
        <v>1063</v>
      </c>
      <c r="H337" s="2">
        <f>Calopeia!F334</f>
        <v>14.329162124156674</v>
      </c>
      <c r="I337" s="2">
        <f>Sorange!E334</f>
        <v>64.823220258002863</v>
      </c>
      <c r="J337" s="2">
        <f>Tyran!D334</f>
        <v>19.409836065573771</v>
      </c>
      <c r="K337" s="2">
        <f>Fardo!D334</f>
        <v>15.704918032786885</v>
      </c>
      <c r="L337" s="2">
        <f>Entworpe!D334</f>
        <v>12.5</v>
      </c>
      <c r="M337">
        <f t="shared" si="7"/>
        <v>18</v>
      </c>
    </row>
    <row r="338" spans="1:13" x14ac:dyDescent="0.2">
      <c r="A338">
        <v>334</v>
      </c>
      <c r="B338">
        <f>Calopeia!B335</f>
        <v>2</v>
      </c>
      <c r="C338">
        <f>Sorange!B335</f>
        <v>0</v>
      </c>
      <c r="D338">
        <f>Tyran!B335</f>
        <v>0</v>
      </c>
      <c r="E338">
        <f>Fardo!B335</f>
        <v>0</v>
      </c>
      <c r="F338" s="2">
        <f>Entworpe!B335</f>
        <v>0</v>
      </c>
      <c r="G338">
        <v>1064</v>
      </c>
      <c r="H338" s="2">
        <f>Calopeia!F335</f>
        <v>14.329162124156674</v>
      </c>
      <c r="I338" s="2">
        <f>Sorange!E335</f>
        <v>64.975871954132813</v>
      </c>
      <c r="J338" s="2">
        <f>Tyran!D335</f>
        <v>19.409836065573771</v>
      </c>
      <c r="K338" s="2">
        <f>Fardo!D335</f>
        <v>15.704918032786885</v>
      </c>
      <c r="L338" s="2">
        <f>Entworpe!D335</f>
        <v>12.5</v>
      </c>
      <c r="M338">
        <f t="shared" si="7"/>
        <v>2</v>
      </c>
    </row>
    <row r="339" spans="1:13" x14ac:dyDescent="0.2">
      <c r="A339">
        <v>335</v>
      </c>
      <c r="B339">
        <f>Calopeia!B336</f>
        <v>10</v>
      </c>
      <c r="C339">
        <f>Sorange!B336</f>
        <v>0</v>
      </c>
      <c r="D339">
        <f>Tyran!B336</f>
        <v>0</v>
      </c>
      <c r="E339">
        <f>Fardo!B336</f>
        <v>0</v>
      </c>
      <c r="F339" s="2">
        <f>Entworpe!B336</f>
        <v>0</v>
      </c>
      <c r="G339">
        <v>1065</v>
      </c>
      <c r="H339" s="2">
        <f>Calopeia!F336</f>
        <v>14.329162124156674</v>
      </c>
      <c r="I339" s="2">
        <f>Sorange!E336</f>
        <v>65.128523650262778</v>
      </c>
      <c r="J339" s="2">
        <f>Tyran!D336</f>
        <v>19.409836065573771</v>
      </c>
      <c r="K339" s="2">
        <f>Fardo!D336</f>
        <v>15.704918032786885</v>
      </c>
      <c r="L339" s="2">
        <f>Entworpe!D336</f>
        <v>12.5</v>
      </c>
      <c r="M339">
        <f t="shared" si="7"/>
        <v>10</v>
      </c>
    </row>
    <row r="340" spans="1:13" x14ac:dyDescent="0.2">
      <c r="A340">
        <v>336</v>
      </c>
      <c r="B340">
        <f>Calopeia!B337</f>
        <v>12</v>
      </c>
      <c r="C340">
        <f>Sorange!B337</f>
        <v>0</v>
      </c>
      <c r="D340">
        <f>Tyran!B337</f>
        <v>0</v>
      </c>
      <c r="E340">
        <f>Fardo!B337</f>
        <v>0</v>
      </c>
      <c r="F340" s="2">
        <f>Entworpe!B337</f>
        <v>0</v>
      </c>
      <c r="G340">
        <v>1066</v>
      </c>
      <c r="H340" s="2">
        <f>Calopeia!F337</f>
        <v>14.329162124156674</v>
      </c>
      <c r="I340" s="2">
        <f>Sorange!E337</f>
        <v>65.281175346392729</v>
      </c>
      <c r="J340" s="2">
        <f>Tyran!D337</f>
        <v>19.409836065573771</v>
      </c>
      <c r="K340" s="2">
        <f>Fardo!D337</f>
        <v>15.704918032786885</v>
      </c>
      <c r="L340" s="2">
        <f>Entworpe!D337</f>
        <v>12.5</v>
      </c>
      <c r="M340">
        <f t="shared" si="7"/>
        <v>12</v>
      </c>
    </row>
    <row r="341" spans="1:13" x14ac:dyDescent="0.2">
      <c r="A341">
        <v>337</v>
      </c>
      <c r="B341">
        <f>Calopeia!B338</f>
        <v>11</v>
      </c>
      <c r="C341">
        <f>Sorange!B338</f>
        <v>0</v>
      </c>
      <c r="D341">
        <f>Tyran!B338</f>
        <v>0</v>
      </c>
      <c r="E341">
        <f>Fardo!B338</f>
        <v>0</v>
      </c>
      <c r="F341" s="2">
        <f>Entworpe!B338</f>
        <v>0</v>
      </c>
      <c r="G341">
        <v>1067</v>
      </c>
      <c r="H341" s="2">
        <f>Calopeia!F338</f>
        <v>14.329162124156674</v>
      </c>
      <c r="I341" s="2">
        <f>Sorange!E338</f>
        <v>65.433827042522694</v>
      </c>
      <c r="J341" s="2">
        <f>Tyran!D338</f>
        <v>19.409836065573771</v>
      </c>
      <c r="K341" s="2">
        <f>Fardo!D338</f>
        <v>15.704918032786885</v>
      </c>
      <c r="L341" s="2">
        <f>Entworpe!D338</f>
        <v>12.5</v>
      </c>
      <c r="M341">
        <f t="shared" si="7"/>
        <v>11</v>
      </c>
    </row>
    <row r="342" spans="1:13" x14ac:dyDescent="0.2">
      <c r="A342">
        <v>338</v>
      </c>
      <c r="B342">
        <f>Calopeia!B339</f>
        <v>5</v>
      </c>
      <c r="C342">
        <f>Sorange!B339</f>
        <v>0</v>
      </c>
      <c r="D342">
        <f>Tyran!B339</f>
        <v>0</v>
      </c>
      <c r="E342">
        <f>Fardo!B339</f>
        <v>0</v>
      </c>
      <c r="F342" s="2">
        <f>Entworpe!B339</f>
        <v>0</v>
      </c>
      <c r="G342">
        <v>1068</v>
      </c>
      <c r="H342" s="2">
        <f>Calopeia!F339</f>
        <v>14.329162124156674</v>
      </c>
      <c r="I342" s="2">
        <f>Sorange!E339</f>
        <v>65.586478738652644</v>
      </c>
      <c r="J342" s="2">
        <f>Tyran!D339</f>
        <v>19.409836065573771</v>
      </c>
      <c r="K342" s="2">
        <f>Fardo!D339</f>
        <v>15.704918032786885</v>
      </c>
      <c r="L342" s="2">
        <f>Entworpe!D339</f>
        <v>12.5</v>
      </c>
      <c r="M342">
        <f t="shared" si="7"/>
        <v>5</v>
      </c>
    </row>
    <row r="343" spans="1:13" x14ac:dyDescent="0.2">
      <c r="A343">
        <v>339</v>
      </c>
      <c r="B343">
        <f>Calopeia!B340</f>
        <v>4</v>
      </c>
      <c r="C343">
        <f>Sorange!B340</f>
        <v>0</v>
      </c>
      <c r="D343">
        <f>Tyran!B340</f>
        <v>0</v>
      </c>
      <c r="E343">
        <f>Fardo!B340</f>
        <v>0</v>
      </c>
      <c r="F343" s="2">
        <f>Entworpe!B340</f>
        <v>0</v>
      </c>
      <c r="G343">
        <v>1069</v>
      </c>
      <c r="H343" s="2">
        <f>Calopeia!F340</f>
        <v>14.329162124156674</v>
      </c>
      <c r="I343" s="2">
        <f>Sorange!E340</f>
        <v>65.739130434782595</v>
      </c>
      <c r="J343" s="2">
        <f>Tyran!D340</f>
        <v>19.409836065573771</v>
      </c>
      <c r="K343" s="2">
        <f>Fardo!D340</f>
        <v>15.704918032786885</v>
      </c>
      <c r="L343" s="2">
        <f>Entworpe!D340</f>
        <v>12.5</v>
      </c>
      <c r="M343">
        <f t="shared" si="7"/>
        <v>4</v>
      </c>
    </row>
    <row r="344" spans="1:13" x14ac:dyDescent="0.2">
      <c r="A344">
        <v>340</v>
      </c>
      <c r="B344">
        <f>Calopeia!B341</f>
        <v>26</v>
      </c>
      <c r="C344">
        <f>Sorange!B341</f>
        <v>0</v>
      </c>
      <c r="D344">
        <f>Tyran!B341</f>
        <v>0</v>
      </c>
      <c r="E344">
        <f>Fardo!B341</f>
        <v>0</v>
      </c>
      <c r="F344" s="2">
        <f>Entworpe!B341</f>
        <v>0</v>
      </c>
      <c r="G344">
        <v>1070</v>
      </c>
      <c r="H344" s="2">
        <f>Calopeia!F341</f>
        <v>14.329162124156674</v>
      </c>
      <c r="I344" s="2">
        <f>Sorange!E341</f>
        <v>65.89178213091256</v>
      </c>
      <c r="J344" s="2">
        <f>Tyran!D341</f>
        <v>19.409836065573771</v>
      </c>
      <c r="K344" s="2">
        <f>Fardo!D341</f>
        <v>15.704918032786885</v>
      </c>
      <c r="L344" s="2">
        <f>Entworpe!D341</f>
        <v>12.5</v>
      </c>
      <c r="M344">
        <f t="shared" si="7"/>
        <v>26</v>
      </c>
    </row>
    <row r="345" spans="1:13" x14ac:dyDescent="0.2">
      <c r="A345">
        <v>341</v>
      </c>
      <c r="B345">
        <f>Calopeia!B342</f>
        <v>2</v>
      </c>
      <c r="C345">
        <f>Sorange!B342</f>
        <v>0</v>
      </c>
      <c r="D345">
        <f>Tyran!B342</f>
        <v>0</v>
      </c>
      <c r="E345">
        <f>Fardo!B342</f>
        <v>0</v>
      </c>
      <c r="F345" s="2">
        <f>Entworpe!B342</f>
        <v>0</v>
      </c>
      <c r="G345">
        <v>1071</v>
      </c>
      <c r="H345" s="2">
        <f>Calopeia!F342</f>
        <v>14.329162124156674</v>
      </c>
      <c r="I345" s="2">
        <f>Sorange!E342</f>
        <v>66.044433827042511</v>
      </c>
      <c r="J345" s="2">
        <f>Tyran!D342</f>
        <v>19.409836065573771</v>
      </c>
      <c r="K345" s="2">
        <f>Fardo!D342</f>
        <v>15.704918032786885</v>
      </c>
      <c r="L345" s="2">
        <f>Entworpe!D342</f>
        <v>12.5</v>
      </c>
      <c r="M345">
        <f t="shared" si="7"/>
        <v>2</v>
      </c>
    </row>
    <row r="346" spans="1:13" x14ac:dyDescent="0.2">
      <c r="A346">
        <v>342</v>
      </c>
      <c r="B346">
        <f>Calopeia!B343</f>
        <v>14</v>
      </c>
      <c r="C346">
        <f>Sorange!B343</f>
        <v>0</v>
      </c>
      <c r="D346">
        <f>Tyran!B343</f>
        <v>0</v>
      </c>
      <c r="E346">
        <f>Fardo!B343</f>
        <v>0</v>
      </c>
      <c r="F346" s="2">
        <f>Entworpe!B343</f>
        <v>0</v>
      </c>
      <c r="G346">
        <v>1072</v>
      </c>
      <c r="H346" s="2">
        <f>Calopeia!F343</f>
        <v>14.329162124156674</v>
      </c>
      <c r="I346" s="2">
        <f>Sorange!E343</f>
        <v>66.197085523172476</v>
      </c>
      <c r="J346" s="2">
        <f>Tyran!D343</f>
        <v>19.409836065573771</v>
      </c>
      <c r="K346" s="2">
        <f>Fardo!D343</f>
        <v>15.704918032786885</v>
      </c>
      <c r="L346" s="2">
        <f>Entworpe!D343</f>
        <v>12.5</v>
      </c>
      <c r="M346">
        <f t="shared" si="7"/>
        <v>14</v>
      </c>
    </row>
    <row r="347" spans="1:13" x14ac:dyDescent="0.2">
      <c r="A347">
        <v>343</v>
      </c>
      <c r="B347">
        <f>Calopeia!B344</f>
        <v>31</v>
      </c>
      <c r="C347">
        <f>Sorange!B344</f>
        <v>0</v>
      </c>
      <c r="D347">
        <f>Tyran!B344</f>
        <v>0</v>
      </c>
      <c r="E347">
        <f>Fardo!B344</f>
        <v>0</v>
      </c>
      <c r="F347" s="2">
        <f>Entworpe!B344</f>
        <v>0</v>
      </c>
      <c r="G347">
        <v>1073</v>
      </c>
      <c r="H347" s="2">
        <f>Calopeia!F344</f>
        <v>14.329162124156674</v>
      </c>
      <c r="I347" s="2">
        <f>Sorange!E344</f>
        <v>66.349737219302426</v>
      </c>
      <c r="J347" s="2">
        <f>Tyran!D344</f>
        <v>19.409836065573771</v>
      </c>
      <c r="K347" s="2">
        <f>Fardo!D344</f>
        <v>15.704918032786885</v>
      </c>
      <c r="L347" s="2">
        <f>Entworpe!D344</f>
        <v>12.5</v>
      </c>
      <c r="M347">
        <f t="shared" si="7"/>
        <v>31</v>
      </c>
    </row>
    <row r="348" spans="1:13" x14ac:dyDescent="0.2">
      <c r="A348">
        <v>344</v>
      </c>
      <c r="B348">
        <f>Calopeia!B345</f>
        <v>28</v>
      </c>
      <c r="C348">
        <f>Sorange!B345</f>
        <v>0</v>
      </c>
      <c r="D348">
        <f>Tyran!B345</f>
        <v>0</v>
      </c>
      <c r="E348">
        <f>Fardo!B345</f>
        <v>0</v>
      </c>
      <c r="F348" s="2">
        <f>Entworpe!B345</f>
        <v>0</v>
      </c>
      <c r="G348">
        <v>1074</v>
      </c>
      <c r="H348" s="2">
        <f>Calopeia!F345</f>
        <v>14.329162124156674</v>
      </c>
      <c r="I348" s="2">
        <f>Sorange!E345</f>
        <v>66.502388915432391</v>
      </c>
      <c r="J348" s="2">
        <f>Tyran!D345</f>
        <v>19.409836065573771</v>
      </c>
      <c r="K348" s="2">
        <f>Fardo!D345</f>
        <v>15.704918032786885</v>
      </c>
      <c r="L348" s="2">
        <f>Entworpe!D345</f>
        <v>12.5</v>
      </c>
      <c r="M348">
        <f t="shared" si="7"/>
        <v>28</v>
      </c>
    </row>
    <row r="349" spans="1:13" x14ac:dyDescent="0.2">
      <c r="A349">
        <v>345</v>
      </c>
      <c r="B349">
        <f>Calopeia!B346</f>
        <v>5</v>
      </c>
      <c r="C349">
        <f>Sorange!B346</f>
        <v>0</v>
      </c>
      <c r="D349">
        <f>Tyran!B346</f>
        <v>0</v>
      </c>
      <c r="E349">
        <f>Fardo!B346</f>
        <v>0</v>
      </c>
      <c r="F349" s="2">
        <f>Entworpe!B346</f>
        <v>0</v>
      </c>
      <c r="G349">
        <v>1075</v>
      </c>
      <c r="H349" s="2">
        <f>Calopeia!F346</f>
        <v>14.329162124156674</v>
      </c>
      <c r="I349" s="2">
        <f>Sorange!E346</f>
        <v>66.655040611562342</v>
      </c>
      <c r="J349" s="2">
        <f>Tyran!D346</f>
        <v>19.409836065573771</v>
      </c>
      <c r="K349" s="2">
        <f>Fardo!D346</f>
        <v>15.704918032786885</v>
      </c>
      <c r="L349" s="2">
        <f>Entworpe!D346</f>
        <v>12.5</v>
      </c>
      <c r="M349">
        <f t="shared" si="7"/>
        <v>5</v>
      </c>
    </row>
    <row r="350" spans="1:13" x14ac:dyDescent="0.2">
      <c r="A350">
        <v>346</v>
      </c>
      <c r="B350">
        <f>Calopeia!B347</f>
        <v>3</v>
      </c>
      <c r="C350">
        <f>Sorange!B347</f>
        <v>0</v>
      </c>
      <c r="D350">
        <f>Tyran!B347</f>
        <v>0</v>
      </c>
      <c r="E350">
        <f>Fardo!B347</f>
        <v>0</v>
      </c>
      <c r="F350" s="2">
        <f>Entworpe!B347</f>
        <v>0</v>
      </c>
      <c r="G350">
        <v>1076</v>
      </c>
      <c r="H350" s="2">
        <f>Calopeia!F347</f>
        <v>14.329162124156674</v>
      </c>
      <c r="I350" s="2">
        <f>Sorange!E347</f>
        <v>66.807692307692307</v>
      </c>
      <c r="J350" s="2">
        <f>Tyran!D347</f>
        <v>19.409836065573771</v>
      </c>
      <c r="K350" s="2">
        <f>Fardo!D347</f>
        <v>15.704918032786885</v>
      </c>
      <c r="L350" s="2">
        <f>Entworpe!D347</f>
        <v>12.5</v>
      </c>
      <c r="M350">
        <f t="shared" si="7"/>
        <v>3</v>
      </c>
    </row>
    <row r="351" spans="1:13" x14ac:dyDescent="0.2">
      <c r="A351">
        <v>347</v>
      </c>
      <c r="B351">
        <f>Calopeia!B348</f>
        <v>4</v>
      </c>
      <c r="C351">
        <f>Sorange!B348</f>
        <v>0</v>
      </c>
      <c r="D351">
        <f>Tyran!B348</f>
        <v>0</v>
      </c>
      <c r="E351">
        <f>Fardo!B348</f>
        <v>0</v>
      </c>
      <c r="F351" s="2">
        <f>Entworpe!B348</f>
        <v>0</v>
      </c>
      <c r="G351">
        <v>1077</v>
      </c>
      <c r="H351" s="2">
        <f>Calopeia!F348</f>
        <v>14.329162124156674</v>
      </c>
      <c r="I351" s="2">
        <f>Sorange!E348</f>
        <v>66.960344003822257</v>
      </c>
      <c r="J351" s="2">
        <f>Tyran!D348</f>
        <v>19.409836065573771</v>
      </c>
      <c r="K351" s="2">
        <f>Fardo!D348</f>
        <v>15.704918032786885</v>
      </c>
      <c r="L351" s="2">
        <f>Entworpe!D348</f>
        <v>12.5</v>
      </c>
      <c r="M351">
        <f t="shared" si="7"/>
        <v>4</v>
      </c>
    </row>
    <row r="352" spans="1:13" x14ac:dyDescent="0.2">
      <c r="A352">
        <v>348</v>
      </c>
      <c r="B352">
        <f>Calopeia!B349</f>
        <v>4</v>
      </c>
      <c r="C352">
        <f>Sorange!B349</f>
        <v>0</v>
      </c>
      <c r="D352">
        <f>Tyran!B349</f>
        <v>0</v>
      </c>
      <c r="E352">
        <f>Fardo!B349</f>
        <v>0</v>
      </c>
      <c r="F352" s="2">
        <f>Entworpe!B349</f>
        <v>0</v>
      </c>
      <c r="G352">
        <v>1078</v>
      </c>
      <c r="H352" s="2">
        <f>Calopeia!F349</f>
        <v>14.329162124156674</v>
      </c>
      <c r="I352" s="2">
        <f>Sorange!E349</f>
        <v>67.112995699952208</v>
      </c>
      <c r="J352" s="2">
        <f>Tyran!D349</f>
        <v>19.409836065573771</v>
      </c>
      <c r="K352" s="2">
        <f>Fardo!D349</f>
        <v>15.704918032786885</v>
      </c>
      <c r="L352" s="2">
        <f>Entworpe!D349</f>
        <v>12.5</v>
      </c>
      <c r="M352">
        <f t="shared" si="7"/>
        <v>4</v>
      </c>
    </row>
    <row r="353" spans="1:13" x14ac:dyDescent="0.2">
      <c r="A353">
        <v>349</v>
      </c>
      <c r="B353">
        <f>Calopeia!B350</f>
        <v>10</v>
      </c>
      <c r="C353">
        <f>Sorange!B350</f>
        <v>0</v>
      </c>
      <c r="D353">
        <f>Tyran!B350</f>
        <v>0</v>
      </c>
      <c r="E353">
        <f>Fardo!B350</f>
        <v>0</v>
      </c>
      <c r="F353" s="2">
        <f>Entworpe!B350</f>
        <v>0</v>
      </c>
      <c r="G353">
        <v>1079</v>
      </c>
      <c r="H353" s="2">
        <f>Calopeia!F350</f>
        <v>14.329162124156674</v>
      </c>
      <c r="I353" s="2">
        <f>Sorange!E350</f>
        <v>67.265647396082173</v>
      </c>
      <c r="J353" s="2">
        <f>Tyran!D350</f>
        <v>19.409836065573771</v>
      </c>
      <c r="K353" s="2">
        <f>Fardo!D350</f>
        <v>15.704918032786885</v>
      </c>
      <c r="L353" s="2">
        <f>Entworpe!D350</f>
        <v>12.5</v>
      </c>
      <c r="M353">
        <f t="shared" si="7"/>
        <v>10</v>
      </c>
    </row>
    <row r="354" spans="1:13" x14ac:dyDescent="0.2">
      <c r="A354">
        <v>350</v>
      </c>
      <c r="B354">
        <f>Calopeia!B351</f>
        <v>3</v>
      </c>
      <c r="C354">
        <f>Sorange!B351</f>
        <v>0</v>
      </c>
      <c r="D354">
        <f>Tyran!B351</f>
        <v>0</v>
      </c>
      <c r="E354">
        <f>Fardo!B351</f>
        <v>0</v>
      </c>
      <c r="F354" s="2">
        <f>Entworpe!B351</f>
        <v>0</v>
      </c>
      <c r="G354">
        <v>1080</v>
      </c>
      <c r="H354" s="2">
        <f>Calopeia!F351</f>
        <v>14.329162124156674</v>
      </c>
      <c r="I354" s="2">
        <f>Sorange!E351</f>
        <v>67.418299092212123</v>
      </c>
      <c r="J354" s="2">
        <f>Tyran!D351</f>
        <v>19.409836065573771</v>
      </c>
      <c r="K354" s="2">
        <f>Fardo!D351</f>
        <v>15.704918032786885</v>
      </c>
      <c r="L354" s="2">
        <f>Entworpe!D351</f>
        <v>12.5</v>
      </c>
      <c r="M354">
        <f t="shared" si="7"/>
        <v>3</v>
      </c>
    </row>
    <row r="355" spans="1:13" x14ac:dyDescent="0.2">
      <c r="A355">
        <v>351</v>
      </c>
      <c r="B355">
        <f>Calopeia!B352</f>
        <v>2</v>
      </c>
      <c r="C355">
        <f>Sorange!B352</f>
        <v>0</v>
      </c>
      <c r="D355">
        <f>Tyran!B352</f>
        <v>0</v>
      </c>
      <c r="E355">
        <f>Fardo!B352</f>
        <v>0</v>
      </c>
      <c r="F355" s="2">
        <f>Entworpe!B352</f>
        <v>0</v>
      </c>
      <c r="G355">
        <v>1081</v>
      </c>
      <c r="H355" s="2">
        <f>Calopeia!F352</f>
        <v>14.329162124156674</v>
      </c>
      <c r="I355" s="2">
        <f>Sorange!E352</f>
        <v>67.570950788342088</v>
      </c>
      <c r="J355" s="2">
        <f>Tyran!D352</f>
        <v>19.409836065573771</v>
      </c>
      <c r="K355" s="2">
        <f>Fardo!D352</f>
        <v>15.704918032786885</v>
      </c>
      <c r="L355" s="2">
        <f>Entworpe!D352</f>
        <v>12.5</v>
      </c>
      <c r="M355">
        <f t="shared" si="7"/>
        <v>2</v>
      </c>
    </row>
    <row r="356" spans="1:13" x14ac:dyDescent="0.2">
      <c r="A356">
        <v>352</v>
      </c>
      <c r="B356">
        <f>Calopeia!B353</f>
        <v>3</v>
      </c>
      <c r="C356">
        <f>Sorange!B353</f>
        <v>0</v>
      </c>
      <c r="D356">
        <f>Tyran!B353</f>
        <v>0</v>
      </c>
      <c r="E356">
        <f>Fardo!B353</f>
        <v>0</v>
      </c>
      <c r="F356" s="2">
        <f>Entworpe!B353</f>
        <v>0</v>
      </c>
      <c r="G356">
        <v>1082</v>
      </c>
      <c r="H356" s="2">
        <f>Calopeia!F353</f>
        <v>14.329162124156674</v>
      </c>
      <c r="I356" s="2">
        <f>Sorange!E353</f>
        <v>67.723602484472039</v>
      </c>
      <c r="J356" s="2">
        <f>Tyran!D353</f>
        <v>19.409836065573771</v>
      </c>
      <c r="K356" s="2">
        <f>Fardo!D353</f>
        <v>15.704918032786885</v>
      </c>
      <c r="L356" s="2">
        <f>Entworpe!D353</f>
        <v>12.5</v>
      </c>
      <c r="M356">
        <f t="shared" si="7"/>
        <v>3</v>
      </c>
    </row>
    <row r="357" spans="1:13" x14ac:dyDescent="0.2">
      <c r="A357">
        <v>353</v>
      </c>
      <c r="B357">
        <f>Calopeia!B354</f>
        <v>29</v>
      </c>
      <c r="C357">
        <f>Sorange!B354</f>
        <v>0</v>
      </c>
      <c r="D357">
        <f>Tyran!B354</f>
        <v>0</v>
      </c>
      <c r="E357">
        <f>Fardo!B354</f>
        <v>0</v>
      </c>
      <c r="F357" s="2">
        <f>Entworpe!B354</f>
        <v>0</v>
      </c>
      <c r="G357">
        <v>1083</v>
      </c>
      <c r="H357" s="2">
        <f>Calopeia!F354</f>
        <v>14.329162124156674</v>
      </c>
      <c r="I357" s="2">
        <f>Sorange!E354</f>
        <v>67.876254180602004</v>
      </c>
      <c r="J357" s="2">
        <f>Tyran!D354</f>
        <v>19.409836065573771</v>
      </c>
      <c r="K357" s="2">
        <f>Fardo!D354</f>
        <v>15.704918032786885</v>
      </c>
      <c r="L357" s="2">
        <f>Entworpe!D354</f>
        <v>12.5</v>
      </c>
      <c r="M357">
        <f t="shared" si="7"/>
        <v>29</v>
      </c>
    </row>
    <row r="358" spans="1:13" x14ac:dyDescent="0.2">
      <c r="A358">
        <v>354</v>
      </c>
      <c r="B358">
        <f>Calopeia!B355</f>
        <v>15</v>
      </c>
      <c r="C358">
        <f>Sorange!B355</f>
        <v>0</v>
      </c>
      <c r="D358">
        <f>Tyran!B355</f>
        <v>0</v>
      </c>
      <c r="E358">
        <f>Fardo!B355</f>
        <v>0</v>
      </c>
      <c r="F358" s="2">
        <f>Entworpe!B355</f>
        <v>0</v>
      </c>
      <c r="G358">
        <v>1084</v>
      </c>
      <c r="H358" s="2">
        <f>Calopeia!F355</f>
        <v>14.329162124156674</v>
      </c>
      <c r="I358" s="2">
        <f>Sorange!E355</f>
        <v>68.028905876731955</v>
      </c>
      <c r="J358" s="2">
        <f>Tyran!D355</f>
        <v>19.409836065573771</v>
      </c>
      <c r="K358" s="2">
        <f>Fardo!D355</f>
        <v>15.704918032786885</v>
      </c>
      <c r="L358" s="2">
        <f>Entworpe!D355</f>
        <v>12.5</v>
      </c>
      <c r="M358">
        <f t="shared" si="7"/>
        <v>15</v>
      </c>
    </row>
    <row r="359" spans="1:13" x14ac:dyDescent="0.2">
      <c r="A359">
        <v>355</v>
      </c>
      <c r="B359">
        <f>Calopeia!B356</f>
        <v>4</v>
      </c>
      <c r="C359">
        <f>Sorange!B356</f>
        <v>0</v>
      </c>
      <c r="D359">
        <f>Tyran!B356</f>
        <v>0</v>
      </c>
      <c r="E359">
        <f>Fardo!B356</f>
        <v>0</v>
      </c>
      <c r="F359" s="2">
        <f>Entworpe!B356</f>
        <v>0</v>
      </c>
      <c r="G359">
        <v>1085</v>
      </c>
      <c r="H359" s="2">
        <f>Calopeia!F356</f>
        <v>14.329162124156674</v>
      </c>
      <c r="I359" s="2">
        <f>Sorange!E356</f>
        <v>68.181557572861919</v>
      </c>
      <c r="J359" s="2">
        <f>Tyran!D356</f>
        <v>19.409836065573771</v>
      </c>
      <c r="K359" s="2">
        <f>Fardo!D356</f>
        <v>15.704918032786885</v>
      </c>
      <c r="L359" s="2">
        <f>Entworpe!D356</f>
        <v>12.5</v>
      </c>
      <c r="M359">
        <f t="shared" si="7"/>
        <v>4</v>
      </c>
    </row>
    <row r="360" spans="1:13" x14ac:dyDescent="0.2">
      <c r="A360">
        <v>356</v>
      </c>
      <c r="B360">
        <f>Calopeia!B357</f>
        <v>5</v>
      </c>
      <c r="C360">
        <f>Sorange!B357</f>
        <v>0</v>
      </c>
      <c r="D360">
        <f>Tyran!B357</f>
        <v>0</v>
      </c>
      <c r="E360">
        <f>Fardo!B357</f>
        <v>0</v>
      </c>
      <c r="F360" s="2">
        <f>Entworpe!B357</f>
        <v>0</v>
      </c>
      <c r="G360">
        <v>1086</v>
      </c>
      <c r="H360" s="2">
        <f>Calopeia!F357</f>
        <v>14.329162124156674</v>
      </c>
      <c r="I360" s="2">
        <f>Sorange!E357</f>
        <v>68.33420926899187</v>
      </c>
      <c r="J360" s="2">
        <f>Tyran!D357</f>
        <v>19.409836065573771</v>
      </c>
      <c r="K360" s="2">
        <f>Fardo!D357</f>
        <v>15.704918032786885</v>
      </c>
      <c r="L360" s="2">
        <f>Entworpe!D357</f>
        <v>12.5</v>
      </c>
      <c r="M360">
        <f t="shared" si="7"/>
        <v>5</v>
      </c>
    </row>
    <row r="361" spans="1:13" x14ac:dyDescent="0.2">
      <c r="A361">
        <v>357</v>
      </c>
      <c r="B361">
        <f>Calopeia!B358</f>
        <v>7</v>
      </c>
      <c r="C361">
        <f>Sorange!B358</f>
        <v>0</v>
      </c>
      <c r="D361">
        <f>Tyran!B358</f>
        <v>0</v>
      </c>
      <c r="E361">
        <f>Fardo!B358</f>
        <v>0</v>
      </c>
      <c r="F361" s="2">
        <f>Entworpe!B358</f>
        <v>0</v>
      </c>
      <c r="G361">
        <v>1087</v>
      </c>
      <c r="H361" s="2">
        <f>Calopeia!F358</f>
        <v>14.329162124156674</v>
      </c>
      <c r="I361" s="2">
        <f>Sorange!E358</f>
        <v>68.486860965121835</v>
      </c>
      <c r="J361" s="2">
        <f>Tyran!D358</f>
        <v>19.409836065573771</v>
      </c>
      <c r="K361" s="2">
        <f>Fardo!D358</f>
        <v>15.704918032786885</v>
      </c>
      <c r="L361" s="2">
        <f>Entworpe!D358</f>
        <v>12.5</v>
      </c>
      <c r="M361">
        <f t="shared" si="7"/>
        <v>7</v>
      </c>
    </row>
    <row r="362" spans="1:13" x14ac:dyDescent="0.2">
      <c r="A362">
        <v>358</v>
      </c>
      <c r="B362">
        <f>Calopeia!B359</f>
        <v>1</v>
      </c>
      <c r="C362">
        <f>Sorange!B359</f>
        <v>0</v>
      </c>
      <c r="D362">
        <f>Tyran!B359</f>
        <v>0</v>
      </c>
      <c r="E362">
        <f>Fardo!B359</f>
        <v>0</v>
      </c>
      <c r="F362" s="2">
        <f>Entworpe!B359</f>
        <v>0</v>
      </c>
      <c r="G362">
        <v>1088</v>
      </c>
      <c r="H362" s="2">
        <f>Calopeia!F359</f>
        <v>14.329162124156674</v>
      </c>
      <c r="I362" s="2">
        <f>Sorange!E359</f>
        <v>68.639512661251786</v>
      </c>
      <c r="J362" s="2">
        <f>Tyran!D359</f>
        <v>19.409836065573771</v>
      </c>
      <c r="K362" s="2">
        <f>Fardo!D359</f>
        <v>15.704918032786885</v>
      </c>
      <c r="L362" s="2">
        <f>Entworpe!D359</f>
        <v>12.5</v>
      </c>
      <c r="M362">
        <f t="shared" si="7"/>
        <v>1</v>
      </c>
    </row>
    <row r="363" spans="1:13" x14ac:dyDescent="0.2">
      <c r="A363">
        <v>359</v>
      </c>
      <c r="B363">
        <f>Calopeia!B360</f>
        <v>41</v>
      </c>
      <c r="C363">
        <f>Sorange!B360</f>
        <v>0</v>
      </c>
      <c r="D363">
        <f>Tyran!B360</f>
        <v>0</v>
      </c>
      <c r="E363">
        <f>Fardo!B360</f>
        <v>0</v>
      </c>
      <c r="F363" s="2">
        <f>Entworpe!B360</f>
        <v>0</v>
      </c>
      <c r="G363">
        <v>1089</v>
      </c>
      <c r="H363" s="2">
        <f>Calopeia!F360</f>
        <v>14.329162124156674</v>
      </c>
      <c r="I363" s="2">
        <f>Sorange!E360</f>
        <v>68.792164357381736</v>
      </c>
      <c r="J363" s="2">
        <f>Tyran!D360</f>
        <v>19.409836065573771</v>
      </c>
      <c r="K363" s="2">
        <f>Fardo!D360</f>
        <v>15.704918032786885</v>
      </c>
      <c r="L363" s="2">
        <f>Entworpe!D360</f>
        <v>12.5</v>
      </c>
      <c r="M363">
        <f t="shared" si="7"/>
        <v>41</v>
      </c>
    </row>
    <row r="364" spans="1:13" x14ac:dyDescent="0.2">
      <c r="A364">
        <v>360</v>
      </c>
      <c r="B364">
        <f>Calopeia!B361</f>
        <v>3</v>
      </c>
      <c r="C364">
        <f>Sorange!B361</f>
        <v>0</v>
      </c>
      <c r="D364">
        <f>Tyran!B361</f>
        <v>0</v>
      </c>
      <c r="E364">
        <f>Fardo!B361</f>
        <v>0</v>
      </c>
      <c r="F364" s="2">
        <f>Entworpe!B361</f>
        <v>0</v>
      </c>
      <c r="G364">
        <v>1090</v>
      </c>
      <c r="H364" s="2">
        <f>Calopeia!F361</f>
        <v>14.329162124156674</v>
      </c>
      <c r="I364" s="2">
        <f>Sorange!E361</f>
        <v>68.944816053511701</v>
      </c>
      <c r="J364" s="2">
        <f>Tyran!D361</f>
        <v>19.409836065573771</v>
      </c>
      <c r="K364" s="2">
        <f>Fardo!D361</f>
        <v>15.704918032786885</v>
      </c>
      <c r="L364" s="2">
        <f>Entworpe!D361</f>
        <v>12.5</v>
      </c>
      <c r="M364">
        <f t="shared" si="7"/>
        <v>3</v>
      </c>
    </row>
    <row r="365" spans="1:13" x14ac:dyDescent="0.2">
      <c r="A365">
        <v>361</v>
      </c>
      <c r="B365">
        <f>Calopeia!B362</f>
        <v>3</v>
      </c>
      <c r="C365">
        <f>Sorange!B362</f>
        <v>0</v>
      </c>
      <c r="D365">
        <f>Tyran!B362</f>
        <v>0</v>
      </c>
      <c r="E365">
        <f>Fardo!B362</f>
        <v>0</v>
      </c>
      <c r="F365" s="2">
        <f>Entworpe!B362</f>
        <v>0</v>
      </c>
      <c r="G365">
        <v>1091</v>
      </c>
      <c r="H365" s="2">
        <f>Calopeia!F362</f>
        <v>14.329162124156674</v>
      </c>
      <c r="I365" s="2">
        <f>Sorange!E362</f>
        <v>69.097467749641652</v>
      </c>
      <c r="J365" s="2">
        <f>Tyran!D362</f>
        <v>19.409836065573771</v>
      </c>
      <c r="K365" s="2">
        <f>Fardo!D362</f>
        <v>15.704918032786885</v>
      </c>
      <c r="L365" s="2">
        <f>Entworpe!D362</f>
        <v>12.5</v>
      </c>
      <c r="M365">
        <f t="shared" si="7"/>
        <v>3</v>
      </c>
    </row>
    <row r="366" spans="1:13" x14ac:dyDescent="0.2">
      <c r="A366">
        <v>362</v>
      </c>
      <c r="B366">
        <f>Calopeia!B363</f>
        <v>6</v>
      </c>
      <c r="C366">
        <f>Sorange!B363</f>
        <v>0</v>
      </c>
      <c r="D366">
        <f>Tyran!B363</f>
        <v>0</v>
      </c>
      <c r="E366">
        <f>Fardo!B363</f>
        <v>0</v>
      </c>
      <c r="F366" s="2">
        <f>Entworpe!B363</f>
        <v>0</v>
      </c>
      <c r="G366">
        <v>1092</v>
      </c>
      <c r="H366" s="2">
        <f>Calopeia!F363</f>
        <v>14.329162124156674</v>
      </c>
      <c r="I366" s="2">
        <f>Sorange!E363</f>
        <v>69.250119445771617</v>
      </c>
      <c r="J366" s="2">
        <f>Tyran!D363</f>
        <v>19.409836065573771</v>
      </c>
      <c r="K366" s="2">
        <f>Fardo!D363</f>
        <v>15.704918032786885</v>
      </c>
      <c r="L366" s="2">
        <f>Entworpe!D363</f>
        <v>12.5</v>
      </c>
      <c r="M366">
        <f t="shared" si="7"/>
        <v>6</v>
      </c>
    </row>
    <row r="367" spans="1:13" x14ac:dyDescent="0.2">
      <c r="A367">
        <v>363</v>
      </c>
      <c r="B367">
        <f>Calopeia!B364</f>
        <v>12</v>
      </c>
      <c r="C367">
        <f>Sorange!B364</f>
        <v>0</v>
      </c>
      <c r="D367">
        <f>Tyran!B364</f>
        <v>0</v>
      </c>
      <c r="E367">
        <f>Fardo!B364</f>
        <v>0</v>
      </c>
      <c r="F367" s="2">
        <f>Entworpe!B364</f>
        <v>0</v>
      </c>
      <c r="G367">
        <v>1093</v>
      </c>
      <c r="H367" s="2">
        <f>Calopeia!F364</f>
        <v>14.329162124156674</v>
      </c>
      <c r="I367" s="2">
        <f>Sorange!E364</f>
        <v>69.402771141901567</v>
      </c>
      <c r="J367" s="2">
        <f>Tyran!D364</f>
        <v>19.409836065573771</v>
      </c>
      <c r="K367" s="2">
        <f>Fardo!D364</f>
        <v>15.704918032786885</v>
      </c>
      <c r="L367" s="2">
        <f>Entworpe!D364</f>
        <v>12.5</v>
      </c>
      <c r="M367">
        <f t="shared" si="7"/>
        <v>12</v>
      </c>
    </row>
    <row r="368" spans="1:13" x14ac:dyDescent="0.2">
      <c r="A368">
        <v>364</v>
      </c>
      <c r="B368">
        <f>Calopeia!B365</f>
        <v>10</v>
      </c>
      <c r="C368">
        <f>Sorange!B365</f>
        <v>0</v>
      </c>
      <c r="D368">
        <f>Tyran!B365</f>
        <v>0</v>
      </c>
      <c r="E368">
        <f>Fardo!B365</f>
        <v>0</v>
      </c>
      <c r="F368" s="2">
        <f>Entworpe!B365</f>
        <v>0</v>
      </c>
      <c r="G368">
        <v>1094</v>
      </c>
      <c r="H368" s="2">
        <f>Calopeia!F365</f>
        <v>14.329162124156674</v>
      </c>
      <c r="I368" s="2">
        <f>Sorange!E365</f>
        <v>69.555422838031532</v>
      </c>
      <c r="J368" s="2">
        <f>Tyran!D365</f>
        <v>19.409836065573771</v>
      </c>
      <c r="K368" s="2">
        <f>Fardo!D365</f>
        <v>15.704918032786885</v>
      </c>
      <c r="L368" s="2">
        <f>Entworpe!D365</f>
        <v>12.5</v>
      </c>
      <c r="M368">
        <f t="shared" si="7"/>
        <v>10</v>
      </c>
    </row>
    <row r="369" spans="1:13" x14ac:dyDescent="0.2">
      <c r="A369">
        <v>365</v>
      </c>
      <c r="B369">
        <f>Calopeia!B366</f>
        <v>14</v>
      </c>
      <c r="C369">
        <f>Sorange!B366</f>
        <v>0</v>
      </c>
      <c r="D369">
        <f>Tyran!B366</f>
        <v>0</v>
      </c>
      <c r="E369">
        <f>Fardo!B366</f>
        <v>0</v>
      </c>
      <c r="F369" s="2">
        <f>Entworpe!B366</f>
        <v>0</v>
      </c>
      <c r="G369">
        <v>1095</v>
      </c>
      <c r="H369" s="2">
        <f>Calopeia!F366</f>
        <v>14.329162124156674</v>
      </c>
      <c r="I369" s="2">
        <f>Sorange!E366</f>
        <v>69.708074534161483</v>
      </c>
      <c r="J369" s="2">
        <f>Tyran!D366</f>
        <v>19.409836065573771</v>
      </c>
      <c r="K369" s="2">
        <f>Fardo!D366</f>
        <v>15.704918032786885</v>
      </c>
      <c r="L369" s="2">
        <f>Entworpe!D366</f>
        <v>12.5</v>
      </c>
      <c r="M369">
        <f t="shared" si="7"/>
        <v>14</v>
      </c>
    </row>
    <row r="370" spans="1:13" x14ac:dyDescent="0.2">
      <c r="A370">
        <v>366</v>
      </c>
      <c r="B370">
        <f>Calopeia!D2</f>
        <v>5</v>
      </c>
      <c r="C370">
        <f>Sorange!B367</f>
        <v>0</v>
      </c>
      <c r="D370">
        <f>Tyran!B367</f>
        <v>0</v>
      </c>
      <c r="E370">
        <f>Fardo!B367</f>
        <v>0</v>
      </c>
      <c r="F370" s="2">
        <f>Entworpe!B367</f>
        <v>0</v>
      </c>
      <c r="G370">
        <v>1096</v>
      </c>
      <c r="H370" s="2">
        <f>Calopeia!H2</f>
        <v>16.529495073980069</v>
      </c>
      <c r="I370" s="2">
        <f>Sorange!E367</f>
        <v>69.860726230291448</v>
      </c>
      <c r="J370" s="2">
        <f>Tyran!D367</f>
        <v>19.409836065573771</v>
      </c>
      <c r="K370" s="2">
        <f>Fardo!D367</f>
        <v>15.704918032786885</v>
      </c>
      <c r="L370" s="2">
        <f>Entworpe!D367</f>
        <v>12.5</v>
      </c>
      <c r="M370">
        <f t="shared" si="7"/>
        <v>5</v>
      </c>
    </row>
    <row r="371" spans="1:13" x14ac:dyDescent="0.2">
      <c r="A371">
        <v>367</v>
      </c>
      <c r="B371">
        <f>Calopeia!D3</f>
        <v>4</v>
      </c>
      <c r="C371">
        <f>Sorange!B368</f>
        <v>0</v>
      </c>
      <c r="D371">
        <f>Tyran!B368</f>
        <v>0</v>
      </c>
      <c r="E371">
        <f>Fardo!B368</f>
        <v>0</v>
      </c>
      <c r="F371" s="2">
        <f>Entworpe!B368</f>
        <v>0</v>
      </c>
      <c r="G371">
        <v>1097</v>
      </c>
      <c r="H371" s="2">
        <f>Calopeia!H3</f>
        <v>16.529495073980069</v>
      </c>
      <c r="I371" s="2">
        <f>Sorange!E368</f>
        <v>70.013377926421398</v>
      </c>
      <c r="J371" s="2">
        <f>Tyran!D368</f>
        <v>19.409836065573771</v>
      </c>
      <c r="K371" s="2">
        <f>Fardo!D368</f>
        <v>15.704918032786885</v>
      </c>
      <c r="L371" s="2">
        <f>Entworpe!D368</f>
        <v>12.5</v>
      </c>
      <c r="M371">
        <f t="shared" si="7"/>
        <v>4</v>
      </c>
    </row>
    <row r="372" spans="1:13" x14ac:dyDescent="0.2">
      <c r="A372">
        <v>368</v>
      </c>
      <c r="B372">
        <f>Calopeia!D4</f>
        <v>9</v>
      </c>
      <c r="C372">
        <f>Sorange!B369</f>
        <v>0</v>
      </c>
      <c r="D372">
        <f>Tyran!B369</f>
        <v>0</v>
      </c>
      <c r="E372">
        <f>Fardo!B369</f>
        <v>0</v>
      </c>
      <c r="F372" s="2">
        <f>Entworpe!B369</f>
        <v>0</v>
      </c>
      <c r="G372">
        <v>1098</v>
      </c>
      <c r="H372" s="2">
        <f>Calopeia!H4</f>
        <v>16.529495073980069</v>
      </c>
      <c r="I372" s="2">
        <f>Sorange!E369</f>
        <v>70.166029622551349</v>
      </c>
      <c r="J372" s="2">
        <f>Tyran!D369</f>
        <v>19.409836065573771</v>
      </c>
      <c r="K372" s="2">
        <f>Fardo!D369</f>
        <v>15.704918032786885</v>
      </c>
      <c r="L372" s="2">
        <f>Entworpe!D369</f>
        <v>12.5</v>
      </c>
      <c r="M372">
        <f t="shared" si="7"/>
        <v>9</v>
      </c>
    </row>
    <row r="373" spans="1:13" x14ac:dyDescent="0.2">
      <c r="A373">
        <v>369</v>
      </c>
      <c r="B373">
        <f>Calopeia!D5</f>
        <v>9</v>
      </c>
      <c r="C373">
        <f>Sorange!B370</f>
        <v>0</v>
      </c>
      <c r="D373">
        <f>Tyran!B370</f>
        <v>0</v>
      </c>
      <c r="E373">
        <f>Fardo!B370</f>
        <v>0</v>
      </c>
      <c r="F373" s="2">
        <f>Entworpe!B370</f>
        <v>0</v>
      </c>
      <c r="G373">
        <v>1099</v>
      </c>
      <c r="H373" s="2">
        <f>Calopeia!H5</f>
        <v>16.529495073980069</v>
      </c>
      <c r="I373" s="2">
        <f>Sorange!E370</f>
        <v>70.318681318681314</v>
      </c>
      <c r="J373" s="2">
        <f>Tyran!D370</f>
        <v>19.409836065573771</v>
      </c>
      <c r="K373" s="2">
        <f>Fardo!D370</f>
        <v>15.704918032786885</v>
      </c>
      <c r="L373" s="2">
        <f>Entworpe!D370</f>
        <v>12.5</v>
      </c>
      <c r="M373">
        <f t="shared" si="7"/>
        <v>9</v>
      </c>
    </row>
    <row r="374" spans="1:13" x14ac:dyDescent="0.2">
      <c r="A374">
        <v>370</v>
      </c>
      <c r="B374">
        <f>Calopeia!D6</f>
        <v>1</v>
      </c>
      <c r="C374">
        <f>Sorange!B371</f>
        <v>0</v>
      </c>
      <c r="D374">
        <f>Tyran!B371</f>
        <v>0</v>
      </c>
      <c r="E374">
        <f>Fardo!B371</f>
        <v>0</v>
      </c>
      <c r="F374" s="2">
        <f>Entworpe!B371</f>
        <v>0</v>
      </c>
      <c r="G374">
        <v>1100</v>
      </c>
      <c r="H374" s="2">
        <f>Calopeia!H6</f>
        <v>16.529495073980069</v>
      </c>
      <c r="I374" s="2">
        <f>Sorange!E371</f>
        <v>70.471333014811265</v>
      </c>
      <c r="J374" s="2">
        <f>Tyran!D371</f>
        <v>19.409836065573771</v>
      </c>
      <c r="K374" s="2">
        <f>Fardo!D371</f>
        <v>15.704918032786885</v>
      </c>
      <c r="L374" s="2">
        <f>Entworpe!D371</f>
        <v>12.5</v>
      </c>
      <c r="M374">
        <f t="shared" si="7"/>
        <v>1</v>
      </c>
    </row>
    <row r="375" spans="1:13" x14ac:dyDescent="0.2">
      <c r="A375">
        <v>371</v>
      </c>
      <c r="B375">
        <f>Calopeia!D7</f>
        <v>29</v>
      </c>
      <c r="C375">
        <f>Sorange!B372</f>
        <v>0</v>
      </c>
      <c r="D375">
        <f>Tyran!B372</f>
        <v>0</v>
      </c>
      <c r="E375">
        <f>Fardo!B372</f>
        <v>0</v>
      </c>
      <c r="F375" s="2">
        <f>Entworpe!B372</f>
        <v>0</v>
      </c>
      <c r="G375">
        <v>1101</v>
      </c>
      <c r="H375" s="2">
        <f>Calopeia!H7</f>
        <v>16.529495073980069</v>
      </c>
      <c r="I375" s="2">
        <f>Sorange!E372</f>
        <v>70.62398471094123</v>
      </c>
      <c r="J375" s="2">
        <f>Tyran!D372</f>
        <v>19.409836065573771</v>
      </c>
      <c r="K375" s="2">
        <f>Fardo!D372</f>
        <v>15.704918032786885</v>
      </c>
      <c r="L375" s="2">
        <f>Entworpe!D372</f>
        <v>12.5</v>
      </c>
      <c r="M375">
        <f t="shared" si="7"/>
        <v>29</v>
      </c>
    </row>
    <row r="376" spans="1:13" x14ac:dyDescent="0.2">
      <c r="A376">
        <v>372</v>
      </c>
      <c r="B376">
        <f>Calopeia!D8</f>
        <v>6</v>
      </c>
      <c r="C376">
        <f>Sorange!B373</f>
        <v>0</v>
      </c>
      <c r="D376">
        <f>Tyran!B373</f>
        <v>0</v>
      </c>
      <c r="E376">
        <f>Fardo!B373</f>
        <v>0</v>
      </c>
      <c r="F376" s="2">
        <f>Entworpe!B373</f>
        <v>0</v>
      </c>
      <c r="G376">
        <v>1102</v>
      </c>
      <c r="H376" s="2">
        <f>Calopeia!H8</f>
        <v>16.529495073980069</v>
      </c>
      <c r="I376" s="2">
        <f>Sorange!E373</f>
        <v>70.77663640707118</v>
      </c>
      <c r="J376" s="2">
        <f>Tyran!D373</f>
        <v>19.409836065573771</v>
      </c>
      <c r="K376" s="2">
        <f>Fardo!D373</f>
        <v>15.704918032786885</v>
      </c>
      <c r="L376" s="2">
        <f>Entworpe!D373</f>
        <v>12.5</v>
      </c>
      <c r="M376">
        <f t="shared" si="7"/>
        <v>6</v>
      </c>
    </row>
    <row r="377" spans="1:13" x14ac:dyDescent="0.2">
      <c r="A377">
        <v>373</v>
      </c>
      <c r="B377">
        <f>Calopeia!D9</f>
        <v>4</v>
      </c>
      <c r="C377">
        <f>Sorange!B374</f>
        <v>0</v>
      </c>
      <c r="D377">
        <f>Tyran!B374</f>
        <v>0</v>
      </c>
      <c r="E377">
        <f>Fardo!B374</f>
        <v>0</v>
      </c>
      <c r="F377" s="2">
        <f>Entworpe!B374</f>
        <v>0</v>
      </c>
      <c r="G377">
        <v>1103</v>
      </c>
      <c r="H377" s="2">
        <f>Calopeia!H9</f>
        <v>16.529495073980069</v>
      </c>
      <c r="I377" s="2">
        <f>Sorange!E374</f>
        <v>70.929288103201145</v>
      </c>
      <c r="J377" s="2">
        <f>Tyran!D374</f>
        <v>19.409836065573771</v>
      </c>
      <c r="K377" s="2">
        <f>Fardo!D374</f>
        <v>15.704918032786885</v>
      </c>
      <c r="L377" s="2">
        <f>Entworpe!D374</f>
        <v>12.5</v>
      </c>
      <c r="M377">
        <f t="shared" si="7"/>
        <v>4</v>
      </c>
    </row>
    <row r="378" spans="1:13" x14ac:dyDescent="0.2">
      <c r="A378">
        <v>374</v>
      </c>
      <c r="B378">
        <f>Calopeia!D10</f>
        <v>1</v>
      </c>
      <c r="C378">
        <f>Sorange!B375</f>
        <v>0</v>
      </c>
      <c r="D378">
        <f>Tyran!B375</f>
        <v>0</v>
      </c>
      <c r="E378">
        <f>Fardo!B375</f>
        <v>0</v>
      </c>
      <c r="F378" s="2">
        <f>Entworpe!B375</f>
        <v>0</v>
      </c>
      <c r="G378">
        <v>1104</v>
      </c>
      <c r="H378" s="2">
        <f>Calopeia!H10</f>
        <v>16.529495073980069</v>
      </c>
      <c r="I378" s="2">
        <f>Sorange!E375</f>
        <v>71.081939799331096</v>
      </c>
      <c r="J378" s="2">
        <f>Tyran!D375</f>
        <v>19.409836065573771</v>
      </c>
      <c r="K378" s="2">
        <f>Fardo!D375</f>
        <v>15.704918032786885</v>
      </c>
      <c r="L378" s="2">
        <f>Entworpe!D375</f>
        <v>12.5</v>
      </c>
      <c r="M378">
        <f t="shared" si="7"/>
        <v>1</v>
      </c>
    </row>
    <row r="379" spans="1:13" x14ac:dyDescent="0.2">
      <c r="A379">
        <v>375</v>
      </c>
      <c r="B379">
        <f>Calopeia!D11</f>
        <v>13</v>
      </c>
      <c r="C379">
        <f>Sorange!B376</f>
        <v>0</v>
      </c>
      <c r="D379">
        <f>Tyran!B376</f>
        <v>0</v>
      </c>
      <c r="E379">
        <f>Fardo!B376</f>
        <v>0</v>
      </c>
      <c r="F379" s="2">
        <f>Entworpe!B376</f>
        <v>0</v>
      </c>
      <c r="G379">
        <v>1105</v>
      </c>
      <c r="H379" s="2">
        <f>Calopeia!H11</f>
        <v>16.529495073980069</v>
      </c>
      <c r="I379" s="2">
        <f>Sorange!E376</f>
        <v>71.234591495461061</v>
      </c>
      <c r="J379" s="2">
        <f>Tyran!D376</f>
        <v>19.409836065573771</v>
      </c>
      <c r="K379" s="2">
        <f>Fardo!D376</f>
        <v>15.704918032786885</v>
      </c>
      <c r="L379" s="2">
        <f>Entworpe!D376</f>
        <v>12.5</v>
      </c>
      <c r="M379">
        <f t="shared" si="7"/>
        <v>13</v>
      </c>
    </row>
    <row r="380" spans="1:13" x14ac:dyDescent="0.2">
      <c r="A380">
        <v>376</v>
      </c>
      <c r="B380">
        <f>Calopeia!D12</f>
        <v>2</v>
      </c>
      <c r="C380">
        <f>Sorange!B377</f>
        <v>0</v>
      </c>
      <c r="D380">
        <f>Tyran!B377</f>
        <v>0</v>
      </c>
      <c r="E380">
        <f>Fardo!B377</f>
        <v>0</v>
      </c>
      <c r="F380" s="2">
        <f>Entworpe!B377</f>
        <v>0</v>
      </c>
      <c r="G380">
        <v>1106</v>
      </c>
      <c r="H380" s="2">
        <f>Calopeia!H12</f>
        <v>16.529495073980069</v>
      </c>
      <c r="I380" s="2">
        <f>Sorange!E377</f>
        <v>71.387243191591011</v>
      </c>
      <c r="J380" s="2">
        <f>Tyran!D377</f>
        <v>19.409836065573771</v>
      </c>
      <c r="K380" s="2">
        <f>Fardo!D377</f>
        <v>15.704918032786885</v>
      </c>
      <c r="L380" s="2">
        <f>Entworpe!D377</f>
        <v>12.5</v>
      </c>
      <c r="M380">
        <f t="shared" si="7"/>
        <v>2</v>
      </c>
    </row>
    <row r="381" spans="1:13" x14ac:dyDescent="0.2">
      <c r="A381">
        <v>377</v>
      </c>
      <c r="B381">
        <f>Calopeia!D13</f>
        <v>2</v>
      </c>
      <c r="C381">
        <f>Sorange!B378</f>
        <v>0</v>
      </c>
      <c r="D381">
        <f>Tyran!B378</f>
        <v>0</v>
      </c>
      <c r="E381">
        <f>Fardo!B378</f>
        <v>0</v>
      </c>
      <c r="F381" s="2">
        <f>Entworpe!B378</f>
        <v>0</v>
      </c>
      <c r="G381">
        <v>1107</v>
      </c>
      <c r="H381" s="2">
        <f>Calopeia!H13</f>
        <v>16.529495073980069</v>
      </c>
      <c r="I381" s="2">
        <f>Sorange!E378</f>
        <v>71.539894887720962</v>
      </c>
      <c r="J381" s="2">
        <f>Tyran!D378</f>
        <v>19.409836065573771</v>
      </c>
      <c r="K381" s="2">
        <f>Fardo!D378</f>
        <v>15.704918032786885</v>
      </c>
      <c r="L381" s="2">
        <f>Entworpe!D378</f>
        <v>12.5</v>
      </c>
      <c r="M381">
        <f t="shared" si="7"/>
        <v>2</v>
      </c>
    </row>
    <row r="382" spans="1:13" x14ac:dyDescent="0.2">
      <c r="A382">
        <v>378</v>
      </c>
      <c r="B382">
        <f>Calopeia!D14</f>
        <v>26</v>
      </c>
      <c r="C382">
        <f>Sorange!B379</f>
        <v>0</v>
      </c>
      <c r="D382">
        <f>Tyran!B379</f>
        <v>0</v>
      </c>
      <c r="E382">
        <f>Fardo!B379</f>
        <v>0</v>
      </c>
      <c r="F382" s="2">
        <f>Entworpe!B379</f>
        <v>0</v>
      </c>
      <c r="G382">
        <v>1108</v>
      </c>
      <c r="H382" s="2">
        <f>Calopeia!H14</f>
        <v>16.529495073980069</v>
      </c>
      <c r="I382" s="2">
        <f>Sorange!E379</f>
        <v>71.692546583850927</v>
      </c>
      <c r="J382" s="2">
        <f>Tyran!D379</f>
        <v>19.409836065573771</v>
      </c>
      <c r="K382" s="2">
        <f>Fardo!D379</f>
        <v>15.704918032786885</v>
      </c>
      <c r="L382" s="2">
        <f>Entworpe!D379</f>
        <v>12.5</v>
      </c>
      <c r="M382">
        <f t="shared" si="7"/>
        <v>26</v>
      </c>
    </row>
    <row r="383" spans="1:13" x14ac:dyDescent="0.2">
      <c r="A383">
        <v>379</v>
      </c>
      <c r="B383">
        <f>Calopeia!D15</f>
        <v>6</v>
      </c>
      <c r="C383">
        <f>Sorange!B380</f>
        <v>0</v>
      </c>
      <c r="D383">
        <f>Tyran!B380</f>
        <v>0</v>
      </c>
      <c r="E383">
        <f>Fardo!B380</f>
        <v>0</v>
      </c>
      <c r="F383" s="2">
        <f>Entworpe!B380</f>
        <v>0</v>
      </c>
      <c r="G383">
        <v>1109</v>
      </c>
      <c r="H383" s="2">
        <f>Calopeia!H15</f>
        <v>16.529495073980069</v>
      </c>
      <c r="I383" s="2">
        <f>Sorange!E380</f>
        <v>71.845198279980877</v>
      </c>
      <c r="J383" s="2">
        <f>Tyran!D380</f>
        <v>19.409836065573771</v>
      </c>
      <c r="K383" s="2">
        <f>Fardo!D380</f>
        <v>15.704918032786885</v>
      </c>
      <c r="L383" s="2">
        <f>Entworpe!D380</f>
        <v>12.5</v>
      </c>
      <c r="M383">
        <f t="shared" si="7"/>
        <v>6</v>
      </c>
    </row>
    <row r="384" spans="1:13" x14ac:dyDescent="0.2">
      <c r="A384">
        <v>380</v>
      </c>
      <c r="B384">
        <f>Calopeia!D16</f>
        <v>2</v>
      </c>
      <c r="C384">
        <f>Sorange!B381</f>
        <v>0</v>
      </c>
      <c r="D384">
        <f>Tyran!B381</f>
        <v>0</v>
      </c>
      <c r="E384">
        <f>Fardo!B381</f>
        <v>0</v>
      </c>
      <c r="F384" s="2">
        <f>Entworpe!B381</f>
        <v>0</v>
      </c>
      <c r="G384">
        <v>1110</v>
      </c>
      <c r="H384" s="2">
        <f>Calopeia!H16</f>
        <v>16.529495073980069</v>
      </c>
      <c r="I384" s="2">
        <f>Sorange!E381</f>
        <v>71.997849976110842</v>
      </c>
      <c r="J384" s="2">
        <f>Tyran!D381</f>
        <v>19.409836065573771</v>
      </c>
      <c r="K384" s="2">
        <f>Fardo!D381</f>
        <v>15.704918032786885</v>
      </c>
      <c r="L384" s="2">
        <f>Entworpe!D381</f>
        <v>12.5</v>
      </c>
      <c r="M384">
        <f t="shared" si="7"/>
        <v>2</v>
      </c>
    </row>
    <row r="385" spans="1:13" x14ac:dyDescent="0.2">
      <c r="A385">
        <v>381</v>
      </c>
      <c r="B385">
        <f>Calopeia!D17</f>
        <v>18</v>
      </c>
      <c r="C385">
        <f>Sorange!B382</f>
        <v>0</v>
      </c>
      <c r="D385">
        <f>Tyran!B382</f>
        <v>0</v>
      </c>
      <c r="E385">
        <f>Fardo!B382</f>
        <v>0</v>
      </c>
      <c r="F385" s="2">
        <f>Entworpe!B382</f>
        <v>0</v>
      </c>
      <c r="G385">
        <v>1111</v>
      </c>
      <c r="H385" s="2">
        <f>Calopeia!H17</f>
        <v>16.529495073980069</v>
      </c>
      <c r="I385" s="2">
        <f>Sorange!E382</f>
        <v>72.150501672240793</v>
      </c>
      <c r="J385" s="2">
        <f>Tyran!D382</f>
        <v>19.409836065573771</v>
      </c>
      <c r="K385" s="2">
        <f>Fardo!D382</f>
        <v>15.704918032786885</v>
      </c>
      <c r="L385" s="2">
        <f>Entworpe!D382</f>
        <v>12.5</v>
      </c>
      <c r="M385">
        <f t="shared" si="7"/>
        <v>18</v>
      </c>
    </row>
    <row r="386" spans="1:13" x14ac:dyDescent="0.2">
      <c r="A386">
        <v>382</v>
      </c>
      <c r="B386">
        <f>Calopeia!D18</f>
        <v>11</v>
      </c>
      <c r="C386">
        <f>Sorange!B383</f>
        <v>0</v>
      </c>
      <c r="D386">
        <f>Tyran!B383</f>
        <v>0</v>
      </c>
      <c r="E386">
        <f>Fardo!B383</f>
        <v>0</v>
      </c>
      <c r="F386" s="2">
        <f>Entworpe!B383</f>
        <v>0</v>
      </c>
      <c r="G386">
        <v>1112</v>
      </c>
      <c r="H386" s="2">
        <f>Calopeia!H18</f>
        <v>16.529495073980069</v>
      </c>
      <c r="I386" s="2">
        <f>Sorange!E383</f>
        <v>72.303153368370758</v>
      </c>
      <c r="J386" s="2">
        <f>Tyran!D383</f>
        <v>19.409836065573771</v>
      </c>
      <c r="K386" s="2">
        <f>Fardo!D383</f>
        <v>15.704918032786885</v>
      </c>
      <c r="L386" s="2">
        <f>Entworpe!D383</f>
        <v>12.5</v>
      </c>
      <c r="M386">
        <f t="shared" si="7"/>
        <v>11</v>
      </c>
    </row>
    <row r="387" spans="1:13" x14ac:dyDescent="0.2">
      <c r="A387">
        <v>383</v>
      </c>
      <c r="B387">
        <f>Calopeia!D19</f>
        <v>9</v>
      </c>
      <c r="C387">
        <f>Sorange!B384</f>
        <v>0</v>
      </c>
      <c r="D387">
        <f>Tyran!B384</f>
        <v>0</v>
      </c>
      <c r="E387">
        <f>Fardo!B384</f>
        <v>0</v>
      </c>
      <c r="F387" s="2">
        <f>Entworpe!B384</f>
        <v>0</v>
      </c>
      <c r="G387">
        <v>1113</v>
      </c>
      <c r="H387" s="2">
        <f>Calopeia!H19</f>
        <v>16.529495073980069</v>
      </c>
      <c r="I387" s="2">
        <f>Sorange!E384</f>
        <v>72.455805064500709</v>
      </c>
      <c r="J387" s="2">
        <f>Tyran!D384</f>
        <v>19.409836065573771</v>
      </c>
      <c r="K387" s="2">
        <f>Fardo!D384</f>
        <v>15.704918032786885</v>
      </c>
      <c r="L387" s="2">
        <f>Entworpe!D384</f>
        <v>12.5</v>
      </c>
      <c r="M387">
        <f t="shared" si="7"/>
        <v>9</v>
      </c>
    </row>
    <row r="388" spans="1:13" x14ac:dyDescent="0.2">
      <c r="A388">
        <v>384</v>
      </c>
      <c r="B388">
        <f>Calopeia!D20</f>
        <v>7</v>
      </c>
      <c r="C388">
        <f>Sorange!B385</f>
        <v>0</v>
      </c>
      <c r="D388">
        <f>Tyran!B385</f>
        <v>0</v>
      </c>
      <c r="E388">
        <f>Fardo!B385</f>
        <v>0</v>
      </c>
      <c r="F388" s="2">
        <f>Entworpe!B385</f>
        <v>0</v>
      </c>
      <c r="G388">
        <v>1114</v>
      </c>
      <c r="H388" s="2">
        <f>Calopeia!H20</f>
        <v>16.529495073980069</v>
      </c>
      <c r="I388" s="2">
        <f>Sorange!E385</f>
        <v>72.608456760630673</v>
      </c>
      <c r="J388" s="2">
        <f>Tyran!D385</f>
        <v>19.409836065573771</v>
      </c>
      <c r="K388" s="2">
        <f>Fardo!D385</f>
        <v>15.704918032786885</v>
      </c>
      <c r="L388" s="2">
        <f>Entworpe!D385</f>
        <v>12.5</v>
      </c>
      <c r="M388">
        <f t="shared" si="7"/>
        <v>7</v>
      </c>
    </row>
    <row r="389" spans="1:13" x14ac:dyDescent="0.2">
      <c r="A389">
        <v>385</v>
      </c>
      <c r="B389">
        <f>Calopeia!D21</f>
        <v>31</v>
      </c>
      <c r="C389">
        <f>Sorange!B386</f>
        <v>0</v>
      </c>
      <c r="D389">
        <f>Tyran!B386</f>
        <v>0</v>
      </c>
      <c r="E389">
        <f>Fardo!B386</f>
        <v>0</v>
      </c>
      <c r="F389" s="2">
        <f>Entworpe!B386</f>
        <v>0</v>
      </c>
      <c r="G389">
        <v>1115</v>
      </c>
      <c r="H389" s="2">
        <f>Calopeia!H21</f>
        <v>16.529495073980069</v>
      </c>
      <c r="I389" s="2">
        <f>Sorange!E386</f>
        <v>72.761108456760624</v>
      </c>
      <c r="J389" s="2">
        <f>Tyran!D386</f>
        <v>19.409836065573771</v>
      </c>
      <c r="K389" s="2">
        <f>Fardo!D386</f>
        <v>15.704918032786885</v>
      </c>
      <c r="L389" s="2">
        <f>Entworpe!D386</f>
        <v>12.5</v>
      </c>
      <c r="M389">
        <f t="shared" si="7"/>
        <v>31</v>
      </c>
    </row>
    <row r="390" spans="1:13" x14ac:dyDescent="0.2">
      <c r="A390">
        <v>386</v>
      </c>
      <c r="B390">
        <f>Calopeia!D22</f>
        <v>18</v>
      </c>
      <c r="C390">
        <f>Sorange!B387</f>
        <v>0</v>
      </c>
      <c r="D390">
        <f>Tyran!B387</f>
        <v>0</v>
      </c>
      <c r="E390">
        <f>Fardo!B387</f>
        <v>0</v>
      </c>
      <c r="F390" s="2">
        <f>Entworpe!B387</f>
        <v>0</v>
      </c>
      <c r="G390">
        <v>1116</v>
      </c>
      <c r="H390" s="2">
        <f>Calopeia!H22</f>
        <v>16.529495073980069</v>
      </c>
      <c r="I390" s="2">
        <f>Sorange!E387</f>
        <v>72.913760152890575</v>
      </c>
      <c r="J390" s="2">
        <f>Tyran!D387</f>
        <v>19.409836065573771</v>
      </c>
      <c r="K390" s="2">
        <f>Fardo!D387</f>
        <v>15.704918032786885</v>
      </c>
      <c r="L390" s="2">
        <f>Entworpe!D387</f>
        <v>12.5</v>
      </c>
      <c r="M390">
        <f t="shared" ref="M390:M453" si="8">B390+F390</f>
        <v>18</v>
      </c>
    </row>
    <row r="391" spans="1:13" x14ac:dyDescent="0.2">
      <c r="A391">
        <v>387</v>
      </c>
      <c r="B391">
        <f>Calopeia!D23</f>
        <v>30</v>
      </c>
      <c r="C391">
        <f>Sorange!B388</f>
        <v>0</v>
      </c>
      <c r="D391">
        <f>Tyran!B388</f>
        <v>0</v>
      </c>
      <c r="E391">
        <f>Fardo!B388</f>
        <v>0</v>
      </c>
      <c r="F391" s="2">
        <f>Entworpe!B388</f>
        <v>0</v>
      </c>
      <c r="G391">
        <v>1117</v>
      </c>
      <c r="H391" s="2">
        <f>Calopeia!H23</f>
        <v>16.529495073980069</v>
      </c>
      <c r="I391" s="2">
        <f>Sorange!E388</f>
        <v>73.06641184902054</v>
      </c>
      <c r="J391" s="2">
        <f>Tyran!D388</f>
        <v>19.409836065573771</v>
      </c>
      <c r="K391" s="2">
        <f>Fardo!D388</f>
        <v>15.704918032786885</v>
      </c>
      <c r="L391" s="2">
        <f>Entworpe!D388</f>
        <v>12.5</v>
      </c>
      <c r="M391">
        <f t="shared" si="8"/>
        <v>30</v>
      </c>
    </row>
    <row r="392" spans="1:13" x14ac:dyDescent="0.2">
      <c r="A392">
        <v>388</v>
      </c>
      <c r="B392">
        <f>Calopeia!D24</f>
        <v>2</v>
      </c>
      <c r="C392">
        <f>Sorange!B389</f>
        <v>0</v>
      </c>
      <c r="D392">
        <f>Tyran!B389</f>
        <v>0</v>
      </c>
      <c r="E392">
        <f>Fardo!B389</f>
        <v>0</v>
      </c>
      <c r="F392" s="2">
        <f>Entworpe!B389</f>
        <v>0</v>
      </c>
      <c r="G392">
        <v>1118</v>
      </c>
      <c r="H392" s="2">
        <f>Calopeia!H24</f>
        <v>16.529495073980069</v>
      </c>
      <c r="I392" s="2">
        <f>Sorange!E389</f>
        <v>73.21906354515049</v>
      </c>
      <c r="J392" s="2">
        <f>Tyran!D389</f>
        <v>19.409836065573771</v>
      </c>
      <c r="K392" s="2">
        <f>Fardo!D389</f>
        <v>15.704918032786885</v>
      </c>
      <c r="L392" s="2">
        <f>Entworpe!D389</f>
        <v>12.5</v>
      </c>
      <c r="M392">
        <f t="shared" si="8"/>
        <v>2</v>
      </c>
    </row>
    <row r="393" spans="1:13" x14ac:dyDescent="0.2">
      <c r="A393">
        <v>389</v>
      </c>
      <c r="B393">
        <f>Calopeia!D25</f>
        <v>8</v>
      </c>
      <c r="C393">
        <f>Sorange!B390</f>
        <v>0</v>
      </c>
      <c r="D393">
        <f>Tyran!B390</f>
        <v>0</v>
      </c>
      <c r="E393">
        <f>Fardo!B390</f>
        <v>0</v>
      </c>
      <c r="F393" s="2">
        <f>Entworpe!B390</f>
        <v>0</v>
      </c>
      <c r="G393">
        <v>1119</v>
      </c>
      <c r="H393" s="2">
        <f>Calopeia!H25</f>
        <v>16.529495073980069</v>
      </c>
      <c r="I393" s="2">
        <f>Sorange!E390</f>
        <v>73.371715241280455</v>
      </c>
      <c r="J393" s="2">
        <f>Tyran!D390</f>
        <v>19.409836065573771</v>
      </c>
      <c r="K393" s="2">
        <f>Fardo!D390</f>
        <v>15.704918032786885</v>
      </c>
      <c r="L393" s="2">
        <f>Entworpe!D390</f>
        <v>12.5</v>
      </c>
      <c r="M393">
        <f t="shared" si="8"/>
        <v>8</v>
      </c>
    </row>
    <row r="394" spans="1:13" x14ac:dyDescent="0.2">
      <c r="A394">
        <v>390</v>
      </c>
      <c r="B394">
        <f>Calopeia!D26</f>
        <v>15</v>
      </c>
      <c r="C394">
        <f>Sorange!B391</f>
        <v>0</v>
      </c>
      <c r="D394">
        <f>Tyran!B391</f>
        <v>0</v>
      </c>
      <c r="E394">
        <f>Fardo!B391</f>
        <v>0</v>
      </c>
      <c r="F394" s="2">
        <f>Entworpe!B391</f>
        <v>0</v>
      </c>
      <c r="G394">
        <v>1120</v>
      </c>
      <c r="H394" s="2">
        <f>Calopeia!H26</f>
        <v>16.529495073980069</v>
      </c>
      <c r="I394" s="2">
        <f>Sorange!E391</f>
        <v>73.524366937410406</v>
      </c>
      <c r="J394" s="2">
        <f>Tyran!D391</f>
        <v>19.409836065573771</v>
      </c>
      <c r="K394" s="2">
        <f>Fardo!D391</f>
        <v>15.704918032786885</v>
      </c>
      <c r="L394" s="2">
        <f>Entworpe!D391</f>
        <v>12.5</v>
      </c>
      <c r="M394">
        <f t="shared" si="8"/>
        <v>15</v>
      </c>
    </row>
    <row r="395" spans="1:13" x14ac:dyDescent="0.2">
      <c r="A395">
        <v>391</v>
      </c>
      <c r="B395">
        <f>Calopeia!D27</f>
        <v>26</v>
      </c>
      <c r="C395">
        <f>Sorange!B392</f>
        <v>0</v>
      </c>
      <c r="D395">
        <f>Tyran!B392</f>
        <v>0</v>
      </c>
      <c r="E395">
        <f>Fardo!B392</f>
        <v>0</v>
      </c>
      <c r="F395" s="2">
        <f>Entworpe!B392</f>
        <v>0</v>
      </c>
      <c r="G395">
        <v>1121</v>
      </c>
      <c r="H395" s="2">
        <f>Calopeia!H27</f>
        <v>16.529495073980069</v>
      </c>
      <c r="I395" s="2">
        <f>Sorange!E392</f>
        <v>73.677018633540371</v>
      </c>
      <c r="J395" s="2">
        <f>Tyran!D392</f>
        <v>19.409836065573771</v>
      </c>
      <c r="K395" s="2">
        <f>Fardo!D392</f>
        <v>15.704918032786885</v>
      </c>
      <c r="L395" s="2">
        <f>Entworpe!D392</f>
        <v>12.5</v>
      </c>
      <c r="M395">
        <f t="shared" si="8"/>
        <v>26</v>
      </c>
    </row>
    <row r="396" spans="1:13" x14ac:dyDescent="0.2">
      <c r="A396">
        <v>392</v>
      </c>
      <c r="B396">
        <f>Calopeia!D28</f>
        <v>6</v>
      </c>
      <c r="C396">
        <f>Sorange!B393</f>
        <v>0</v>
      </c>
      <c r="D396">
        <f>Tyran!B393</f>
        <v>0</v>
      </c>
      <c r="E396">
        <f>Fardo!B393</f>
        <v>0</v>
      </c>
      <c r="F396" s="2">
        <f>Entworpe!B393</f>
        <v>0</v>
      </c>
      <c r="G396">
        <v>1122</v>
      </c>
      <c r="H396" s="2">
        <f>Calopeia!H28</f>
        <v>16.529495073980069</v>
      </c>
      <c r="I396" s="2">
        <f>Sorange!E393</f>
        <v>73.829670329670321</v>
      </c>
      <c r="J396" s="2">
        <f>Tyran!D393</f>
        <v>19.409836065573771</v>
      </c>
      <c r="K396" s="2">
        <f>Fardo!D393</f>
        <v>15.704918032786885</v>
      </c>
      <c r="L396" s="2">
        <f>Entworpe!D393</f>
        <v>12.5</v>
      </c>
      <c r="M396">
        <f t="shared" si="8"/>
        <v>6</v>
      </c>
    </row>
    <row r="397" spans="1:13" x14ac:dyDescent="0.2">
      <c r="A397">
        <v>393</v>
      </c>
      <c r="B397">
        <f>Calopeia!D29</f>
        <v>16</v>
      </c>
      <c r="C397">
        <f>Sorange!B394</f>
        <v>0</v>
      </c>
      <c r="D397">
        <f>Tyran!B394</f>
        <v>0</v>
      </c>
      <c r="E397">
        <f>Fardo!B394</f>
        <v>0</v>
      </c>
      <c r="F397" s="2">
        <f>Entworpe!B394</f>
        <v>0</v>
      </c>
      <c r="G397">
        <v>1123</v>
      </c>
      <c r="H397" s="2">
        <f>Calopeia!H29</f>
        <v>16.529495073980069</v>
      </c>
      <c r="I397" s="2">
        <f>Sorange!E394</f>
        <v>73.982322025800286</v>
      </c>
      <c r="J397" s="2">
        <f>Tyran!D394</f>
        <v>19.409836065573771</v>
      </c>
      <c r="K397" s="2">
        <f>Fardo!D394</f>
        <v>15.704918032786885</v>
      </c>
      <c r="L397" s="2">
        <f>Entworpe!D394</f>
        <v>12.5</v>
      </c>
      <c r="M397">
        <f t="shared" si="8"/>
        <v>16</v>
      </c>
    </row>
    <row r="398" spans="1:13" x14ac:dyDescent="0.2">
      <c r="A398">
        <v>394</v>
      </c>
      <c r="B398">
        <f>Calopeia!D30</f>
        <v>13</v>
      </c>
      <c r="C398">
        <f>Sorange!B395</f>
        <v>0</v>
      </c>
      <c r="D398">
        <f>Tyran!B395</f>
        <v>0</v>
      </c>
      <c r="E398">
        <f>Fardo!B395</f>
        <v>0</v>
      </c>
      <c r="F398" s="2">
        <f>Entworpe!B395</f>
        <v>0</v>
      </c>
      <c r="G398">
        <v>1124</v>
      </c>
      <c r="H398" s="2">
        <f>Calopeia!H30</f>
        <v>16.529495073980069</v>
      </c>
      <c r="I398" s="2">
        <f>Sorange!E395</f>
        <v>74.134973721930237</v>
      </c>
      <c r="J398" s="2">
        <f>Tyran!D395</f>
        <v>19.409836065573771</v>
      </c>
      <c r="K398" s="2">
        <f>Fardo!D395</f>
        <v>15.704918032786885</v>
      </c>
      <c r="L398" s="2">
        <f>Entworpe!D395</f>
        <v>12.5</v>
      </c>
      <c r="M398">
        <f t="shared" si="8"/>
        <v>13</v>
      </c>
    </row>
    <row r="399" spans="1:13" x14ac:dyDescent="0.2">
      <c r="A399">
        <v>395</v>
      </c>
      <c r="B399">
        <f>Calopeia!D31</f>
        <v>10</v>
      </c>
      <c r="C399">
        <f>Sorange!B396</f>
        <v>0</v>
      </c>
      <c r="D399">
        <f>Tyran!B396</f>
        <v>0</v>
      </c>
      <c r="E399">
        <f>Fardo!B396</f>
        <v>0</v>
      </c>
      <c r="F399" s="2">
        <f>Entworpe!B396</f>
        <v>0</v>
      </c>
      <c r="G399">
        <v>1125</v>
      </c>
      <c r="H399" s="2">
        <f>Calopeia!H31</f>
        <v>16.529495073980069</v>
      </c>
      <c r="I399" s="2">
        <f>Sorange!E396</f>
        <v>74.287625418060188</v>
      </c>
      <c r="J399" s="2">
        <f>Tyran!D396</f>
        <v>19.409836065573771</v>
      </c>
      <c r="K399" s="2">
        <f>Fardo!D396</f>
        <v>15.704918032786885</v>
      </c>
      <c r="L399" s="2">
        <f>Entworpe!D396</f>
        <v>12.5</v>
      </c>
      <c r="M399">
        <f t="shared" si="8"/>
        <v>10</v>
      </c>
    </row>
    <row r="400" spans="1:13" x14ac:dyDescent="0.2">
      <c r="A400">
        <v>396</v>
      </c>
      <c r="B400">
        <f>Calopeia!D32</f>
        <v>4</v>
      </c>
      <c r="C400">
        <f>Sorange!B397</f>
        <v>0</v>
      </c>
      <c r="D400">
        <f>Tyran!B397</f>
        <v>0</v>
      </c>
      <c r="E400">
        <f>Fardo!B397</f>
        <v>0</v>
      </c>
      <c r="F400" s="2">
        <f>Entworpe!B397</f>
        <v>0</v>
      </c>
      <c r="G400">
        <v>1126</v>
      </c>
      <c r="H400" s="2">
        <f>Calopeia!H32</f>
        <v>16.529495073980069</v>
      </c>
      <c r="I400" s="2">
        <f>Sorange!E397</f>
        <v>74.440277114190152</v>
      </c>
      <c r="J400" s="2">
        <f>Tyran!D397</f>
        <v>19.409836065573771</v>
      </c>
      <c r="K400" s="2">
        <f>Fardo!D397</f>
        <v>15.704918032786885</v>
      </c>
      <c r="L400" s="2">
        <f>Entworpe!D397</f>
        <v>12.5</v>
      </c>
      <c r="M400">
        <f t="shared" si="8"/>
        <v>4</v>
      </c>
    </row>
    <row r="401" spans="1:13" x14ac:dyDescent="0.2">
      <c r="A401">
        <v>397</v>
      </c>
      <c r="B401">
        <f>Calopeia!D33</f>
        <v>21</v>
      </c>
      <c r="C401">
        <f>Sorange!B398</f>
        <v>0</v>
      </c>
      <c r="D401">
        <f>Tyran!B398</f>
        <v>0</v>
      </c>
      <c r="E401">
        <f>Fardo!B398</f>
        <v>0</v>
      </c>
      <c r="F401" s="2">
        <f>Entworpe!B398</f>
        <v>0</v>
      </c>
      <c r="G401">
        <v>1127</v>
      </c>
      <c r="H401" s="2">
        <f>Calopeia!H33</f>
        <v>16.529495073980069</v>
      </c>
      <c r="I401" s="2">
        <f>Sorange!E398</f>
        <v>74.592928810320103</v>
      </c>
      <c r="J401" s="2">
        <f>Tyran!D398</f>
        <v>19.409836065573771</v>
      </c>
      <c r="K401" s="2">
        <f>Fardo!D398</f>
        <v>15.704918032786885</v>
      </c>
      <c r="L401" s="2">
        <f>Entworpe!D398</f>
        <v>12.5</v>
      </c>
      <c r="M401">
        <f t="shared" si="8"/>
        <v>21</v>
      </c>
    </row>
    <row r="402" spans="1:13" x14ac:dyDescent="0.2">
      <c r="A402">
        <v>398</v>
      </c>
      <c r="B402">
        <f>Calopeia!D34</f>
        <v>11</v>
      </c>
      <c r="C402">
        <f>Sorange!B399</f>
        <v>0</v>
      </c>
      <c r="D402">
        <f>Tyran!B399</f>
        <v>0</v>
      </c>
      <c r="E402">
        <f>Fardo!B399</f>
        <v>0</v>
      </c>
      <c r="F402" s="2">
        <f>Entworpe!B399</f>
        <v>0</v>
      </c>
      <c r="G402">
        <v>1128</v>
      </c>
      <c r="H402" s="2">
        <f>Calopeia!H34</f>
        <v>16.529495073980069</v>
      </c>
      <c r="I402" s="2">
        <f>Sorange!E399</f>
        <v>74.745580506450068</v>
      </c>
      <c r="J402" s="2">
        <f>Tyran!D399</f>
        <v>19.409836065573771</v>
      </c>
      <c r="K402" s="2">
        <f>Fardo!D399</f>
        <v>15.704918032786885</v>
      </c>
      <c r="L402" s="2">
        <f>Entworpe!D399</f>
        <v>12.5</v>
      </c>
      <c r="M402">
        <f t="shared" si="8"/>
        <v>11</v>
      </c>
    </row>
    <row r="403" spans="1:13" x14ac:dyDescent="0.2">
      <c r="A403">
        <v>399</v>
      </c>
      <c r="B403">
        <f>Calopeia!D35</f>
        <v>5</v>
      </c>
      <c r="C403">
        <f>Sorange!B400</f>
        <v>0</v>
      </c>
      <c r="D403">
        <f>Tyran!B400</f>
        <v>0</v>
      </c>
      <c r="E403">
        <f>Fardo!B400</f>
        <v>0</v>
      </c>
      <c r="F403" s="2">
        <f>Entworpe!B400</f>
        <v>0</v>
      </c>
      <c r="G403">
        <v>1129</v>
      </c>
      <c r="H403" s="2">
        <f>Calopeia!H35</f>
        <v>16.529495073980069</v>
      </c>
      <c r="I403" s="2">
        <f>Sorange!E400</f>
        <v>74.898232202580019</v>
      </c>
      <c r="J403" s="2">
        <f>Tyran!D400</f>
        <v>19.409836065573771</v>
      </c>
      <c r="K403" s="2">
        <f>Fardo!D400</f>
        <v>15.704918032786885</v>
      </c>
      <c r="L403" s="2">
        <f>Entworpe!D400</f>
        <v>12.5</v>
      </c>
      <c r="M403">
        <f t="shared" si="8"/>
        <v>5</v>
      </c>
    </row>
    <row r="404" spans="1:13" x14ac:dyDescent="0.2">
      <c r="A404">
        <v>400</v>
      </c>
      <c r="B404">
        <f>Calopeia!D36</f>
        <v>4</v>
      </c>
      <c r="C404">
        <f>Sorange!B401</f>
        <v>0</v>
      </c>
      <c r="D404">
        <f>Tyran!B401</f>
        <v>0</v>
      </c>
      <c r="E404">
        <f>Fardo!B401</f>
        <v>0</v>
      </c>
      <c r="F404" s="2">
        <f>Entworpe!B401</f>
        <v>0</v>
      </c>
      <c r="G404">
        <v>1130</v>
      </c>
      <c r="H404" s="2">
        <f>Calopeia!H36</f>
        <v>16.529495073980069</v>
      </c>
      <c r="I404" s="2">
        <f>Sorange!E401</f>
        <v>75.050883898709984</v>
      </c>
      <c r="J404" s="2">
        <f>Tyran!D401</f>
        <v>19.409836065573771</v>
      </c>
      <c r="K404" s="2">
        <f>Fardo!D401</f>
        <v>15.704918032786885</v>
      </c>
      <c r="L404" s="2">
        <f>Entworpe!D401</f>
        <v>12.5</v>
      </c>
      <c r="M404">
        <f t="shared" si="8"/>
        <v>4</v>
      </c>
    </row>
    <row r="405" spans="1:13" x14ac:dyDescent="0.2">
      <c r="A405">
        <v>401</v>
      </c>
      <c r="B405">
        <f>Calopeia!D37</f>
        <v>18</v>
      </c>
      <c r="C405">
        <f>Sorange!B402</f>
        <v>0</v>
      </c>
      <c r="D405">
        <f>Tyran!B402</f>
        <v>0</v>
      </c>
      <c r="E405">
        <f>Fardo!B402</f>
        <v>0</v>
      </c>
      <c r="F405" s="2">
        <f>Entworpe!B402</f>
        <v>0</v>
      </c>
      <c r="G405">
        <v>1131</v>
      </c>
      <c r="H405" s="2">
        <f>Calopeia!H37</f>
        <v>16.529495073980069</v>
      </c>
      <c r="I405" s="2">
        <f>Sorange!E402</f>
        <v>75.203535594839934</v>
      </c>
      <c r="J405" s="2">
        <f>Tyran!D402</f>
        <v>19.409836065573771</v>
      </c>
      <c r="K405" s="2">
        <f>Fardo!D402</f>
        <v>15.704918032786885</v>
      </c>
      <c r="L405" s="2">
        <f>Entworpe!D402</f>
        <v>12.5</v>
      </c>
      <c r="M405">
        <f t="shared" si="8"/>
        <v>18</v>
      </c>
    </row>
    <row r="406" spans="1:13" x14ac:dyDescent="0.2">
      <c r="A406">
        <v>402</v>
      </c>
      <c r="B406">
        <f>Calopeia!D38</f>
        <v>21</v>
      </c>
      <c r="C406">
        <f>Sorange!B403</f>
        <v>0</v>
      </c>
      <c r="D406">
        <f>Tyran!B403</f>
        <v>0</v>
      </c>
      <c r="E406">
        <f>Fardo!B403</f>
        <v>0</v>
      </c>
      <c r="F406" s="2">
        <f>Entworpe!B403</f>
        <v>0</v>
      </c>
      <c r="G406">
        <v>1132</v>
      </c>
      <c r="H406" s="2">
        <f>Calopeia!H38</f>
        <v>16.529495073980069</v>
      </c>
      <c r="I406" s="2">
        <f>Sorange!E403</f>
        <v>75.356187290969899</v>
      </c>
      <c r="J406" s="2">
        <f>Tyran!D403</f>
        <v>19.409836065573771</v>
      </c>
      <c r="K406" s="2">
        <f>Fardo!D403</f>
        <v>15.704918032786885</v>
      </c>
      <c r="L406" s="2">
        <f>Entworpe!D403</f>
        <v>12.5</v>
      </c>
      <c r="M406">
        <f t="shared" si="8"/>
        <v>21</v>
      </c>
    </row>
    <row r="407" spans="1:13" x14ac:dyDescent="0.2">
      <c r="A407">
        <v>403</v>
      </c>
      <c r="B407">
        <f>Calopeia!D39</f>
        <v>24</v>
      </c>
      <c r="C407">
        <f>Sorange!B404</f>
        <v>0</v>
      </c>
      <c r="D407">
        <f>Tyran!B404</f>
        <v>0</v>
      </c>
      <c r="E407">
        <f>Fardo!B404</f>
        <v>0</v>
      </c>
      <c r="F407" s="2">
        <f>Entworpe!B404</f>
        <v>0</v>
      </c>
      <c r="G407">
        <v>1133</v>
      </c>
      <c r="H407" s="2">
        <f>Calopeia!H39</f>
        <v>16.529495073980069</v>
      </c>
      <c r="I407" s="2">
        <f>Sorange!E404</f>
        <v>75.50883898709985</v>
      </c>
      <c r="J407" s="2">
        <f>Tyran!D404</f>
        <v>19.409836065573771</v>
      </c>
      <c r="K407" s="2">
        <f>Fardo!D404</f>
        <v>15.704918032786885</v>
      </c>
      <c r="L407" s="2">
        <f>Entworpe!D404</f>
        <v>12.5</v>
      </c>
      <c r="M407">
        <f t="shared" si="8"/>
        <v>24</v>
      </c>
    </row>
    <row r="408" spans="1:13" x14ac:dyDescent="0.2">
      <c r="A408">
        <v>404</v>
      </c>
      <c r="B408">
        <f>Calopeia!D40</f>
        <v>4</v>
      </c>
      <c r="C408">
        <f>Sorange!B405</f>
        <v>0</v>
      </c>
      <c r="D408">
        <f>Tyran!B405</f>
        <v>0</v>
      </c>
      <c r="E408">
        <f>Fardo!B405</f>
        <v>0</v>
      </c>
      <c r="F408" s="2">
        <f>Entworpe!B405</f>
        <v>0</v>
      </c>
      <c r="G408">
        <v>1134</v>
      </c>
      <c r="H408" s="2">
        <f>Calopeia!H40</f>
        <v>16.529495073980069</v>
      </c>
      <c r="I408" s="2">
        <f>Sorange!E405</f>
        <v>75.6614906832298</v>
      </c>
      <c r="J408" s="2">
        <f>Tyran!D405</f>
        <v>19.409836065573771</v>
      </c>
      <c r="K408" s="2">
        <f>Fardo!D405</f>
        <v>15.704918032786885</v>
      </c>
      <c r="L408" s="2">
        <f>Entworpe!D405</f>
        <v>12.5</v>
      </c>
      <c r="M408">
        <f t="shared" si="8"/>
        <v>4</v>
      </c>
    </row>
    <row r="409" spans="1:13" x14ac:dyDescent="0.2">
      <c r="A409">
        <v>405</v>
      </c>
      <c r="B409">
        <f>Calopeia!D41</f>
        <v>5</v>
      </c>
      <c r="C409">
        <f>Sorange!B406</f>
        <v>0</v>
      </c>
      <c r="D409">
        <f>Tyran!B406</f>
        <v>0</v>
      </c>
      <c r="E409">
        <f>Fardo!B406</f>
        <v>0</v>
      </c>
      <c r="F409" s="2">
        <f>Entworpe!B406</f>
        <v>0</v>
      </c>
      <c r="G409">
        <v>1135</v>
      </c>
      <c r="H409" s="2">
        <f>Calopeia!H41</f>
        <v>16.529495073980069</v>
      </c>
      <c r="I409" s="2">
        <f>Sorange!E406</f>
        <v>75.814142379359765</v>
      </c>
      <c r="J409" s="2">
        <f>Tyran!D406</f>
        <v>19.409836065573771</v>
      </c>
      <c r="K409" s="2">
        <f>Fardo!D406</f>
        <v>15.704918032786885</v>
      </c>
      <c r="L409" s="2">
        <f>Entworpe!D406</f>
        <v>12.5</v>
      </c>
      <c r="M409">
        <f t="shared" si="8"/>
        <v>5</v>
      </c>
    </row>
    <row r="410" spans="1:13" x14ac:dyDescent="0.2">
      <c r="A410">
        <v>406</v>
      </c>
      <c r="B410">
        <f>Calopeia!D42</f>
        <v>12</v>
      </c>
      <c r="C410">
        <f>Sorange!B407</f>
        <v>0</v>
      </c>
      <c r="D410">
        <f>Tyran!B407</f>
        <v>0</v>
      </c>
      <c r="E410">
        <f>Fardo!B407</f>
        <v>0</v>
      </c>
      <c r="F410" s="2">
        <f>Entworpe!B407</f>
        <v>0</v>
      </c>
      <c r="G410">
        <v>1136</v>
      </c>
      <c r="H410" s="2">
        <f>Calopeia!H42</f>
        <v>16.529495073980069</v>
      </c>
      <c r="I410" s="2">
        <f>Sorange!E407</f>
        <v>75.966794075489716</v>
      </c>
      <c r="J410" s="2">
        <f>Tyran!D407</f>
        <v>19.409836065573771</v>
      </c>
      <c r="K410" s="2">
        <f>Fardo!D407</f>
        <v>15.704918032786885</v>
      </c>
      <c r="L410" s="2">
        <f>Entworpe!D407</f>
        <v>12.5</v>
      </c>
      <c r="M410">
        <f t="shared" si="8"/>
        <v>12</v>
      </c>
    </row>
    <row r="411" spans="1:13" x14ac:dyDescent="0.2">
      <c r="A411">
        <v>407</v>
      </c>
      <c r="B411">
        <f>Calopeia!D43</f>
        <v>18</v>
      </c>
      <c r="C411">
        <f>Sorange!B408</f>
        <v>0</v>
      </c>
      <c r="D411">
        <f>Tyran!B408</f>
        <v>0</v>
      </c>
      <c r="E411">
        <f>Fardo!B408</f>
        <v>0</v>
      </c>
      <c r="F411" s="2">
        <f>Entworpe!B408</f>
        <v>0</v>
      </c>
      <c r="G411">
        <v>1137</v>
      </c>
      <c r="H411" s="2">
        <f>Calopeia!H43</f>
        <v>16.529495073980069</v>
      </c>
      <c r="I411" s="2">
        <f>Sorange!E408</f>
        <v>76.119445771619681</v>
      </c>
      <c r="J411" s="2">
        <f>Tyran!D408</f>
        <v>19.409836065573771</v>
      </c>
      <c r="K411" s="2">
        <f>Fardo!D408</f>
        <v>15.704918032786885</v>
      </c>
      <c r="L411" s="2">
        <f>Entworpe!D408</f>
        <v>12.5</v>
      </c>
      <c r="M411">
        <f t="shared" si="8"/>
        <v>18</v>
      </c>
    </row>
    <row r="412" spans="1:13" x14ac:dyDescent="0.2">
      <c r="A412">
        <v>408</v>
      </c>
      <c r="B412">
        <f>Calopeia!D44</f>
        <v>10</v>
      </c>
      <c r="C412">
        <f>Sorange!B409</f>
        <v>0</v>
      </c>
      <c r="D412">
        <f>Tyran!B409</f>
        <v>0</v>
      </c>
      <c r="E412">
        <f>Fardo!B409</f>
        <v>0</v>
      </c>
      <c r="F412" s="2">
        <f>Entworpe!B409</f>
        <v>0</v>
      </c>
      <c r="G412">
        <v>1138</v>
      </c>
      <c r="H412" s="2">
        <f>Calopeia!H44</f>
        <v>16.529495073980069</v>
      </c>
      <c r="I412" s="2">
        <f>Sorange!E409</f>
        <v>76.272097467749632</v>
      </c>
      <c r="J412" s="2">
        <f>Tyran!D409</f>
        <v>19.409836065573771</v>
      </c>
      <c r="K412" s="2">
        <f>Fardo!D409</f>
        <v>15.704918032786885</v>
      </c>
      <c r="L412" s="2">
        <f>Entworpe!D409</f>
        <v>12.5</v>
      </c>
      <c r="M412">
        <f t="shared" si="8"/>
        <v>10</v>
      </c>
    </row>
    <row r="413" spans="1:13" x14ac:dyDescent="0.2">
      <c r="A413">
        <v>409</v>
      </c>
      <c r="B413">
        <f>Calopeia!D45</f>
        <v>9</v>
      </c>
      <c r="C413">
        <f>Sorange!B410</f>
        <v>0</v>
      </c>
      <c r="D413">
        <f>Tyran!B410</f>
        <v>0</v>
      </c>
      <c r="E413">
        <f>Fardo!B410</f>
        <v>0</v>
      </c>
      <c r="F413" s="2">
        <f>Entworpe!B410</f>
        <v>0</v>
      </c>
      <c r="G413">
        <v>1139</v>
      </c>
      <c r="H413" s="2">
        <f>Calopeia!H45</f>
        <v>16.529495073980069</v>
      </c>
      <c r="I413" s="2">
        <f>Sorange!E410</f>
        <v>76.424749163879596</v>
      </c>
      <c r="J413" s="2">
        <f>Tyran!D410</f>
        <v>19.409836065573771</v>
      </c>
      <c r="K413" s="2">
        <f>Fardo!D410</f>
        <v>15.704918032786885</v>
      </c>
      <c r="L413" s="2">
        <f>Entworpe!D410</f>
        <v>12.5</v>
      </c>
      <c r="M413">
        <f t="shared" si="8"/>
        <v>9</v>
      </c>
    </row>
    <row r="414" spans="1:13" x14ac:dyDescent="0.2">
      <c r="A414">
        <v>410</v>
      </c>
      <c r="B414">
        <f>Calopeia!D46</f>
        <v>33</v>
      </c>
      <c r="C414">
        <f>Sorange!B411</f>
        <v>0</v>
      </c>
      <c r="D414">
        <f>Tyran!B411</f>
        <v>0</v>
      </c>
      <c r="E414">
        <f>Fardo!B411</f>
        <v>0</v>
      </c>
      <c r="F414" s="2">
        <f>Entworpe!B411</f>
        <v>0</v>
      </c>
      <c r="G414">
        <v>1140</v>
      </c>
      <c r="H414" s="2">
        <f>Calopeia!H46</f>
        <v>16.529495073980069</v>
      </c>
      <c r="I414" s="2">
        <f>Sorange!E411</f>
        <v>76.577400860009547</v>
      </c>
      <c r="J414" s="2">
        <f>Tyran!D411</f>
        <v>19.409836065573771</v>
      </c>
      <c r="K414" s="2">
        <f>Fardo!D411</f>
        <v>15.704918032786885</v>
      </c>
      <c r="L414" s="2">
        <f>Entworpe!D411</f>
        <v>12.5</v>
      </c>
      <c r="M414">
        <f t="shared" si="8"/>
        <v>33</v>
      </c>
    </row>
    <row r="415" spans="1:13" x14ac:dyDescent="0.2">
      <c r="A415">
        <v>411</v>
      </c>
      <c r="B415">
        <f>Calopeia!D47</f>
        <v>22</v>
      </c>
      <c r="C415">
        <f>Sorange!B412</f>
        <v>0</v>
      </c>
      <c r="D415">
        <f>Tyran!B412</f>
        <v>0</v>
      </c>
      <c r="E415">
        <f>Fardo!B412</f>
        <v>0</v>
      </c>
      <c r="F415" s="2">
        <f>Entworpe!B412</f>
        <v>0</v>
      </c>
      <c r="G415">
        <v>1141</v>
      </c>
      <c r="H415" s="2">
        <f>Calopeia!H47</f>
        <v>16.529495073980069</v>
      </c>
      <c r="I415" s="2">
        <f>Sorange!E412</f>
        <v>76.730052556139512</v>
      </c>
      <c r="J415" s="2">
        <f>Tyran!D412</f>
        <v>19.409836065573771</v>
      </c>
      <c r="K415" s="2">
        <f>Fardo!D412</f>
        <v>15.704918032786885</v>
      </c>
      <c r="L415" s="2">
        <f>Entworpe!D412</f>
        <v>12.5</v>
      </c>
      <c r="M415">
        <f t="shared" si="8"/>
        <v>22</v>
      </c>
    </row>
    <row r="416" spans="1:13" x14ac:dyDescent="0.2">
      <c r="A416">
        <v>412</v>
      </c>
      <c r="B416">
        <f>Calopeia!D48</f>
        <v>63</v>
      </c>
      <c r="C416">
        <f>Sorange!B413</f>
        <v>0</v>
      </c>
      <c r="D416">
        <f>Tyran!B413</f>
        <v>0</v>
      </c>
      <c r="E416">
        <f>Fardo!B413</f>
        <v>0</v>
      </c>
      <c r="F416" s="2">
        <f>Entworpe!B413</f>
        <v>0</v>
      </c>
      <c r="G416">
        <v>1142</v>
      </c>
      <c r="H416" s="2">
        <f>Calopeia!H48</f>
        <v>16.529495073980069</v>
      </c>
      <c r="I416" s="2">
        <f>Sorange!E413</f>
        <v>76.882704252269463</v>
      </c>
      <c r="J416" s="2">
        <f>Tyran!D413</f>
        <v>19.409836065573771</v>
      </c>
      <c r="K416" s="2">
        <f>Fardo!D413</f>
        <v>15.704918032786885</v>
      </c>
      <c r="L416" s="2">
        <f>Entworpe!D413</f>
        <v>12.5</v>
      </c>
      <c r="M416">
        <f t="shared" si="8"/>
        <v>63</v>
      </c>
    </row>
    <row r="417" spans="1:13" x14ac:dyDescent="0.2">
      <c r="A417">
        <v>413</v>
      </c>
      <c r="B417">
        <f>Calopeia!D49</f>
        <v>25</v>
      </c>
      <c r="C417">
        <f>Sorange!B414</f>
        <v>0</v>
      </c>
      <c r="D417">
        <f>Tyran!B414</f>
        <v>0</v>
      </c>
      <c r="E417">
        <f>Fardo!B414</f>
        <v>0</v>
      </c>
      <c r="F417" s="2">
        <f>Entworpe!B414</f>
        <v>0</v>
      </c>
      <c r="G417">
        <v>1143</v>
      </c>
      <c r="H417" s="2">
        <f>Calopeia!H49</f>
        <v>16.529495073980069</v>
      </c>
      <c r="I417" s="2">
        <f>Sorange!E414</f>
        <v>77.035355948399413</v>
      </c>
      <c r="J417" s="2">
        <f>Tyran!D414</f>
        <v>19.409836065573771</v>
      </c>
      <c r="K417" s="2">
        <f>Fardo!D414</f>
        <v>15.704918032786885</v>
      </c>
      <c r="L417" s="2">
        <f>Entworpe!D414</f>
        <v>12.5</v>
      </c>
      <c r="M417">
        <f t="shared" si="8"/>
        <v>25</v>
      </c>
    </row>
    <row r="418" spans="1:13" x14ac:dyDescent="0.2">
      <c r="A418">
        <v>414</v>
      </c>
      <c r="B418">
        <f>Calopeia!D50</f>
        <v>19</v>
      </c>
      <c r="C418">
        <f>Sorange!B415</f>
        <v>0</v>
      </c>
      <c r="D418">
        <f>Tyran!B415</f>
        <v>0</v>
      </c>
      <c r="E418">
        <f>Fardo!B415</f>
        <v>0</v>
      </c>
      <c r="F418" s="2">
        <f>Entworpe!B415</f>
        <v>0</v>
      </c>
      <c r="G418">
        <v>1144</v>
      </c>
      <c r="H418" s="2">
        <f>Calopeia!H50</f>
        <v>16.529495073980069</v>
      </c>
      <c r="I418" s="2">
        <f>Sorange!E415</f>
        <v>77.188007644529378</v>
      </c>
      <c r="J418" s="2">
        <f>Tyran!D415</f>
        <v>19.409836065573771</v>
      </c>
      <c r="K418" s="2">
        <f>Fardo!D415</f>
        <v>15.704918032786885</v>
      </c>
      <c r="L418" s="2">
        <f>Entworpe!D415</f>
        <v>12.5</v>
      </c>
      <c r="M418">
        <f t="shared" si="8"/>
        <v>19</v>
      </c>
    </row>
    <row r="419" spans="1:13" x14ac:dyDescent="0.2">
      <c r="A419">
        <v>415</v>
      </c>
      <c r="B419">
        <f>Calopeia!D51</f>
        <v>20</v>
      </c>
      <c r="C419">
        <f>Sorange!B416</f>
        <v>0</v>
      </c>
      <c r="D419">
        <f>Tyran!B416</f>
        <v>0</v>
      </c>
      <c r="E419">
        <f>Fardo!B416</f>
        <v>0</v>
      </c>
      <c r="F419" s="2">
        <f>Entworpe!B416</f>
        <v>0</v>
      </c>
      <c r="G419">
        <v>1145</v>
      </c>
      <c r="H419" s="2">
        <f>Calopeia!H51</f>
        <v>16.529495073980069</v>
      </c>
      <c r="I419" s="2">
        <f>Sorange!E416</f>
        <v>77.340659340659329</v>
      </c>
      <c r="J419" s="2">
        <f>Tyran!D416</f>
        <v>19.409836065573771</v>
      </c>
      <c r="K419" s="2">
        <f>Fardo!D416</f>
        <v>15.704918032786885</v>
      </c>
      <c r="L419" s="2">
        <f>Entworpe!D416</f>
        <v>12.5</v>
      </c>
      <c r="M419">
        <f t="shared" si="8"/>
        <v>20</v>
      </c>
    </row>
    <row r="420" spans="1:13" x14ac:dyDescent="0.2">
      <c r="A420">
        <v>416</v>
      </c>
      <c r="B420">
        <f>Calopeia!D52</f>
        <v>15</v>
      </c>
      <c r="C420">
        <f>Sorange!B417</f>
        <v>0</v>
      </c>
      <c r="D420">
        <f>Tyran!B417</f>
        <v>0</v>
      </c>
      <c r="E420">
        <f>Fardo!B417</f>
        <v>0</v>
      </c>
      <c r="F420" s="2">
        <f>Entworpe!B417</f>
        <v>0</v>
      </c>
      <c r="G420">
        <v>1146</v>
      </c>
      <c r="H420" s="2">
        <f>Calopeia!H52</f>
        <v>16.529495073980069</v>
      </c>
      <c r="I420" s="2">
        <f>Sorange!E417</f>
        <v>77.493311036789294</v>
      </c>
      <c r="J420" s="2">
        <f>Tyran!D417</f>
        <v>19.409836065573771</v>
      </c>
      <c r="K420" s="2">
        <f>Fardo!D417</f>
        <v>15.704918032786885</v>
      </c>
      <c r="L420" s="2">
        <f>Entworpe!D417</f>
        <v>12.5</v>
      </c>
      <c r="M420">
        <f t="shared" si="8"/>
        <v>15</v>
      </c>
    </row>
    <row r="421" spans="1:13" x14ac:dyDescent="0.2">
      <c r="A421">
        <v>417</v>
      </c>
      <c r="B421">
        <f>Calopeia!D53</f>
        <v>21</v>
      </c>
      <c r="C421">
        <f>Sorange!B418</f>
        <v>0</v>
      </c>
      <c r="D421">
        <f>Tyran!B418</f>
        <v>0</v>
      </c>
      <c r="E421">
        <f>Fardo!B418</f>
        <v>0</v>
      </c>
      <c r="F421" s="2">
        <f>Entworpe!B418</f>
        <v>0</v>
      </c>
      <c r="G421">
        <v>1147</v>
      </c>
      <c r="H421" s="2">
        <f>Calopeia!H53</f>
        <v>16.529495073980069</v>
      </c>
      <c r="I421" s="2">
        <f>Sorange!E418</f>
        <v>77.645962732919244</v>
      </c>
      <c r="J421" s="2">
        <f>Tyran!D418</f>
        <v>19.409836065573771</v>
      </c>
      <c r="K421" s="2">
        <f>Fardo!D418</f>
        <v>15.704918032786885</v>
      </c>
      <c r="L421" s="2">
        <f>Entworpe!D418</f>
        <v>12.5</v>
      </c>
      <c r="M421">
        <f t="shared" si="8"/>
        <v>21</v>
      </c>
    </row>
    <row r="422" spans="1:13" x14ac:dyDescent="0.2">
      <c r="A422">
        <v>418</v>
      </c>
      <c r="B422">
        <f>Calopeia!D54</f>
        <v>25</v>
      </c>
      <c r="C422">
        <f>Sorange!B419</f>
        <v>0</v>
      </c>
      <c r="D422">
        <f>Tyran!B419</f>
        <v>0</v>
      </c>
      <c r="E422">
        <f>Fardo!B419</f>
        <v>0</v>
      </c>
      <c r="F422" s="2">
        <f>Entworpe!B419</f>
        <v>0</v>
      </c>
      <c r="G422">
        <v>1148</v>
      </c>
      <c r="H422" s="2">
        <f>Calopeia!H54</f>
        <v>16.529495073980069</v>
      </c>
      <c r="I422" s="2">
        <f>Sorange!E419</f>
        <v>77.798614429049209</v>
      </c>
      <c r="J422" s="2">
        <f>Tyran!D419</f>
        <v>19.409836065573771</v>
      </c>
      <c r="K422" s="2">
        <f>Fardo!D419</f>
        <v>15.704918032786885</v>
      </c>
      <c r="L422" s="2">
        <f>Entworpe!D419</f>
        <v>12.5</v>
      </c>
      <c r="M422">
        <f t="shared" si="8"/>
        <v>25</v>
      </c>
    </row>
    <row r="423" spans="1:13" x14ac:dyDescent="0.2">
      <c r="A423">
        <v>419</v>
      </c>
      <c r="B423">
        <f>Calopeia!D55</f>
        <v>15</v>
      </c>
      <c r="C423">
        <f>Sorange!B420</f>
        <v>0</v>
      </c>
      <c r="D423">
        <f>Tyran!B420</f>
        <v>0</v>
      </c>
      <c r="E423">
        <f>Fardo!B420</f>
        <v>0</v>
      </c>
      <c r="F423" s="2">
        <f>Entworpe!B420</f>
        <v>0</v>
      </c>
      <c r="G423">
        <v>1149</v>
      </c>
      <c r="H423" s="2">
        <f>Calopeia!H55</f>
        <v>16.529495073980069</v>
      </c>
      <c r="I423" s="2">
        <f>Sorange!E420</f>
        <v>77.95126612517916</v>
      </c>
      <c r="J423" s="2">
        <f>Tyran!D420</f>
        <v>19.409836065573771</v>
      </c>
      <c r="K423" s="2">
        <f>Fardo!D420</f>
        <v>15.704918032786885</v>
      </c>
      <c r="L423" s="2">
        <f>Entworpe!D420</f>
        <v>12.5</v>
      </c>
      <c r="M423">
        <f t="shared" si="8"/>
        <v>15</v>
      </c>
    </row>
    <row r="424" spans="1:13" x14ac:dyDescent="0.2">
      <c r="A424">
        <v>420</v>
      </c>
      <c r="B424">
        <f>Calopeia!D56</f>
        <v>23</v>
      </c>
      <c r="C424">
        <f>Sorange!B421</f>
        <v>0</v>
      </c>
      <c r="D424">
        <f>Tyran!B421</f>
        <v>0</v>
      </c>
      <c r="E424">
        <f>Fardo!B421</f>
        <v>0</v>
      </c>
      <c r="F424" s="2">
        <f>Entworpe!B421</f>
        <v>0</v>
      </c>
      <c r="G424">
        <v>1150</v>
      </c>
      <c r="H424" s="2">
        <f>Calopeia!H56</f>
        <v>16.529495073980069</v>
      </c>
      <c r="I424" s="2">
        <f>Sorange!E421</f>
        <v>78.103917821309125</v>
      </c>
      <c r="J424" s="2">
        <f>Tyran!D421</f>
        <v>19.409836065573771</v>
      </c>
      <c r="K424" s="2">
        <f>Fardo!D421</f>
        <v>15.704918032786885</v>
      </c>
      <c r="L424" s="2">
        <f>Entworpe!D421</f>
        <v>12.5</v>
      </c>
      <c r="M424">
        <f t="shared" si="8"/>
        <v>23</v>
      </c>
    </row>
    <row r="425" spans="1:13" x14ac:dyDescent="0.2">
      <c r="A425">
        <v>421</v>
      </c>
      <c r="B425">
        <f>Calopeia!D57</f>
        <v>16</v>
      </c>
      <c r="C425">
        <f>Sorange!B422</f>
        <v>0</v>
      </c>
      <c r="D425">
        <f>Tyran!B422</f>
        <v>0</v>
      </c>
      <c r="E425">
        <f>Fardo!B422</f>
        <v>0</v>
      </c>
      <c r="F425" s="2">
        <f>Entworpe!B422</f>
        <v>0</v>
      </c>
      <c r="G425">
        <v>1151</v>
      </c>
      <c r="H425" s="2">
        <f>Calopeia!H57</f>
        <v>16.529495073980069</v>
      </c>
      <c r="I425" s="2">
        <f>Sorange!E422</f>
        <v>78.256569517439075</v>
      </c>
      <c r="J425" s="2">
        <f>Tyran!D422</f>
        <v>19.409836065573771</v>
      </c>
      <c r="K425" s="2">
        <f>Fardo!D422</f>
        <v>15.704918032786885</v>
      </c>
      <c r="L425" s="2">
        <f>Entworpe!D422</f>
        <v>12.5</v>
      </c>
      <c r="M425">
        <f t="shared" si="8"/>
        <v>16</v>
      </c>
    </row>
    <row r="426" spans="1:13" x14ac:dyDescent="0.2">
      <c r="A426">
        <v>422</v>
      </c>
      <c r="B426">
        <f>Calopeia!D58</f>
        <v>19</v>
      </c>
      <c r="C426">
        <f>Sorange!B423</f>
        <v>0</v>
      </c>
      <c r="D426">
        <f>Tyran!B423</f>
        <v>0</v>
      </c>
      <c r="E426">
        <f>Fardo!B423</f>
        <v>0</v>
      </c>
      <c r="F426" s="2">
        <f>Entworpe!B423</f>
        <v>0</v>
      </c>
      <c r="G426">
        <v>1152</v>
      </c>
      <c r="H426" s="2">
        <f>Calopeia!H58</f>
        <v>16.529495073980069</v>
      </c>
      <c r="I426" s="2">
        <f>Sorange!E423</f>
        <v>78.409221213569026</v>
      </c>
      <c r="J426" s="2">
        <f>Tyran!D423</f>
        <v>19.409836065573771</v>
      </c>
      <c r="K426" s="2">
        <f>Fardo!D423</f>
        <v>15.704918032786885</v>
      </c>
      <c r="L426" s="2">
        <f>Entworpe!D423</f>
        <v>12.5</v>
      </c>
      <c r="M426">
        <f t="shared" si="8"/>
        <v>19</v>
      </c>
    </row>
    <row r="427" spans="1:13" x14ac:dyDescent="0.2">
      <c r="A427">
        <v>423</v>
      </c>
      <c r="B427">
        <f>Calopeia!D59</f>
        <v>18</v>
      </c>
      <c r="C427">
        <f>Sorange!B424</f>
        <v>0</v>
      </c>
      <c r="D427">
        <f>Tyran!B424</f>
        <v>0</v>
      </c>
      <c r="E427">
        <f>Fardo!B424</f>
        <v>0</v>
      </c>
      <c r="F427" s="2">
        <f>Entworpe!B424</f>
        <v>0</v>
      </c>
      <c r="G427">
        <v>1153</v>
      </c>
      <c r="H427" s="2">
        <f>Calopeia!H59</f>
        <v>16.529495073980069</v>
      </c>
      <c r="I427" s="2">
        <f>Sorange!E424</f>
        <v>78.561872909698991</v>
      </c>
      <c r="J427" s="2">
        <f>Tyran!D424</f>
        <v>19.409836065573771</v>
      </c>
      <c r="K427" s="2">
        <f>Fardo!D424</f>
        <v>15.704918032786885</v>
      </c>
      <c r="L427" s="2">
        <f>Entworpe!D424</f>
        <v>12.5</v>
      </c>
      <c r="M427">
        <f t="shared" si="8"/>
        <v>18</v>
      </c>
    </row>
    <row r="428" spans="1:13" x14ac:dyDescent="0.2">
      <c r="A428">
        <v>424</v>
      </c>
      <c r="B428">
        <f>Calopeia!D60</f>
        <v>22</v>
      </c>
      <c r="C428">
        <f>Sorange!B425</f>
        <v>0</v>
      </c>
      <c r="D428">
        <f>Tyran!B425</f>
        <v>0</v>
      </c>
      <c r="E428">
        <f>Fardo!B425</f>
        <v>0</v>
      </c>
      <c r="F428" s="2">
        <f>Entworpe!B425</f>
        <v>0</v>
      </c>
      <c r="G428">
        <v>1154</v>
      </c>
      <c r="H428" s="2">
        <f>Calopeia!H60</f>
        <v>16.529495073980069</v>
      </c>
      <c r="I428" s="2">
        <f>Sorange!E425</f>
        <v>78.714524605828942</v>
      </c>
      <c r="J428" s="2">
        <f>Tyran!D425</f>
        <v>19.409836065573771</v>
      </c>
      <c r="K428" s="2">
        <f>Fardo!D425</f>
        <v>15.704918032786885</v>
      </c>
      <c r="L428" s="2">
        <f>Entworpe!D425</f>
        <v>12.5</v>
      </c>
      <c r="M428">
        <f t="shared" si="8"/>
        <v>22</v>
      </c>
    </row>
    <row r="429" spans="1:13" x14ac:dyDescent="0.2">
      <c r="A429">
        <v>425</v>
      </c>
      <c r="B429">
        <f>Calopeia!D61</f>
        <v>23</v>
      </c>
      <c r="C429">
        <f>Sorange!B426</f>
        <v>0</v>
      </c>
      <c r="D429">
        <f>Tyran!B426</f>
        <v>0</v>
      </c>
      <c r="E429">
        <f>Fardo!B426</f>
        <v>0</v>
      </c>
      <c r="F429" s="2">
        <f>Entworpe!B426</f>
        <v>0</v>
      </c>
      <c r="G429">
        <v>1155</v>
      </c>
      <c r="H429" s="2">
        <f>Calopeia!H61</f>
        <v>16.529495073980069</v>
      </c>
      <c r="I429" s="2">
        <f>Sorange!E426</f>
        <v>78.867176301958906</v>
      </c>
      <c r="J429" s="2">
        <f>Tyran!D426</f>
        <v>19.409836065573771</v>
      </c>
      <c r="K429" s="2">
        <f>Fardo!D426</f>
        <v>15.704918032786885</v>
      </c>
      <c r="L429" s="2">
        <f>Entworpe!D426</f>
        <v>12.5</v>
      </c>
      <c r="M429">
        <f t="shared" si="8"/>
        <v>23</v>
      </c>
    </row>
    <row r="430" spans="1:13" x14ac:dyDescent="0.2">
      <c r="A430">
        <v>426</v>
      </c>
      <c r="B430">
        <f>Calopeia!D62</f>
        <v>27</v>
      </c>
      <c r="C430">
        <f>Sorange!B427</f>
        <v>0</v>
      </c>
      <c r="D430">
        <f>Tyran!B427</f>
        <v>0</v>
      </c>
      <c r="E430">
        <f>Fardo!B427</f>
        <v>0</v>
      </c>
      <c r="F430" s="2">
        <f>Entworpe!B427</f>
        <v>0</v>
      </c>
      <c r="G430">
        <v>1156</v>
      </c>
      <c r="H430" s="2">
        <f>Calopeia!H62</f>
        <v>16.529495073980069</v>
      </c>
      <c r="I430" s="2">
        <f>Sorange!E427</f>
        <v>79.019827998088857</v>
      </c>
      <c r="J430" s="2">
        <f>Tyran!D427</f>
        <v>19.409836065573771</v>
      </c>
      <c r="K430" s="2">
        <f>Fardo!D427</f>
        <v>15.704918032786885</v>
      </c>
      <c r="L430" s="2">
        <f>Entworpe!D427</f>
        <v>12.5</v>
      </c>
      <c r="M430">
        <f t="shared" si="8"/>
        <v>27</v>
      </c>
    </row>
    <row r="431" spans="1:13" x14ac:dyDescent="0.2">
      <c r="A431">
        <v>427</v>
      </c>
      <c r="B431">
        <f>Calopeia!D63</f>
        <v>19</v>
      </c>
      <c r="C431">
        <f>Sorange!B428</f>
        <v>0</v>
      </c>
      <c r="D431">
        <f>Tyran!B428</f>
        <v>0</v>
      </c>
      <c r="E431">
        <f>Fardo!B428</f>
        <v>0</v>
      </c>
      <c r="F431" s="2">
        <f>Entworpe!B428</f>
        <v>0</v>
      </c>
      <c r="G431">
        <v>1157</v>
      </c>
      <c r="H431" s="2">
        <f>Calopeia!H63</f>
        <v>16.529495073980069</v>
      </c>
      <c r="I431" s="2">
        <f>Sorange!E428</f>
        <v>79.172479694218822</v>
      </c>
      <c r="J431" s="2">
        <f>Tyran!D428</f>
        <v>19.409836065573771</v>
      </c>
      <c r="K431" s="2">
        <f>Fardo!D428</f>
        <v>15.704918032786885</v>
      </c>
      <c r="L431" s="2">
        <f>Entworpe!D428</f>
        <v>12.5</v>
      </c>
      <c r="M431">
        <f t="shared" si="8"/>
        <v>19</v>
      </c>
    </row>
    <row r="432" spans="1:13" x14ac:dyDescent="0.2">
      <c r="A432">
        <v>428</v>
      </c>
      <c r="B432">
        <f>Calopeia!D64</f>
        <v>47</v>
      </c>
      <c r="C432">
        <f>Sorange!B429</f>
        <v>0</v>
      </c>
      <c r="D432">
        <f>Tyran!B429</f>
        <v>0</v>
      </c>
      <c r="E432">
        <f>Fardo!B429</f>
        <v>0</v>
      </c>
      <c r="F432" s="2">
        <f>Entworpe!B429</f>
        <v>0</v>
      </c>
      <c r="G432">
        <v>1158</v>
      </c>
      <c r="H432" s="2">
        <f>Calopeia!H64</f>
        <v>16.529495073980069</v>
      </c>
      <c r="I432" s="2">
        <f>Sorange!E429</f>
        <v>79.325131390348773</v>
      </c>
      <c r="J432" s="2">
        <f>Tyran!D429</f>
        <v>19.409836065573771</v>
      </c>
      <c r="K432" s="2">
        <f>Fardo!D429</f>
        <v>15.704918032786885</v>
      </c>
      <c r="L432" s="2">
        <f>Entworpe!D429</f>
        <v>12.5</v>
      </c>
      <c r="M432">
        <f t="shared" si="8"/>
        <v>47</v>
      </c>
    </row>
    <row r="433" spans="1:13" x14ac:dyDescent="0.2">
      <c r="A433">
        <v>429</v>
      </c>
      <c r="B433">
        <f>Calopeia!D65</f>
        <v>15</v>
      </c>
      <c r="C433">
        <f>Sorange!B430</f>
        <v>0</v>
      </c>
      <c r="D433">
        <f>Tyran!B430</f>
        <v>0</v>
      </c>
      <c r="E433">
        <f>Fardo!B430</f>
        <v>0</v>
      </c>
      <c r="F433" s="2">
        <f>Entworpe!B430</f>
        <v>0</v>
      </c>
      <c r="G433">
        <v>1159</v>
      </c>
      <c r="H433" s="2">
        <f>Calopeia!H65</f>
        <v>16.529495073980069</v>
      </c>
      <c r="I433" s="2">
        <f>Sorange!E430</f>
        <v>79.477783086478738</v>
      </c>
      <c r="J433" s="2">
        <f>Tyran!D430</f>
        <v>19.409836065573771</v>
      </c>
      <c r="K433" s="2">
        <f>Fardo!D430</f>
        <v>15.704918032786885</v>
      </c>
      <c r="L433" s="2">
        <f>Entworpe!D430</f>
        <v>12.5</v>
      </c>
      <c r="M433">
        <f t="shared" si="8"/>
        <v>15</v>
      </c>
    </row>
    <row r="434" spans="1:13" x14ac:dyDescent="0.2">
      <c r="A434">
        <v>430</v>
      </c>
      <c r="B434">
        <f>Calopeia!D66</f>
        <v>5</v>
      </c>
      <c r="C434">
        <f>Sorange!B431</f>
        <v>0</v>
      </c>
      <c r="D434">
        <f>Tyran!B431</f>
        <v>0</v>
      </c>
      <c r="E434">
        <f>Fardo!B431</f>
        <v>0</v>
      </c>
      <c r="F434" s="2">
        <f>Entworpe!B431</f>
        <v>0</v>
      </c>
      <c r="G434">
        <v>1160</v>
      </c>
      <c r="H434" s="2">
        <f>Calopeia!H66</f>
        <v>16.529495073980069</v>
      </c>
      <c r="I434" s="2">
        <f>Sorange!E431</f>
        <v>79.630434782608688</v>
      </c>
      <c r="J434" s="2">
        <f>Tyran!D431</f>
        <v>19.409836065573771</v>
      </c>
      <c r="K434" s="2">
        <f>Fardo!D431</f>
        <v>15.704918032786885</v>
      </c>
      <c r="L434" s="2">
        <f>Entworpe!D431</f>
        <v>12.5</v>
      </c>
      <c r="M434">
        <f t="shared" si="8"/>
        <v>5</v>
      </c>
    </row>
    <row r="435" spans="1:13" x14ac:dyDescent="0.2">
      <c r="A435">
        <v>431</v>
      </c>
      <c r="B435">
        <f>Calopeia!D67</f>
        <v>17</v>
      </c>
      <c r="C435">
        <f>Sorange!B432</f>
        <v>0</v>
      </c>
      <c r="D435">
        <f>Tyran!B432</f>
        <v>0</v>
      </c>
      <c r="E435">
        <f>Fardo!B432</f>
        <v>0</v>
      </c>
      <c r="F435" s="2">
        <f>Entworpe!B432</f>
        <v>0</v>
      </c>
      <c r="G435">
        <v>1161</v>
      </c>
      <c r="H435" s="2">
        <f>Calopeia!H67</f>
        <v>16.529495073980069</v>
      </c>
      <c r="I435" s="2">
        <f>Sorange!E432</f>
        <v>79.783086478738639</v>
      </c>
      <c r="J435" s="2">
        <f>Tyran!D432</f>
        <v>19.409836065573771</v>
      </c>
      <c r="K435" s="2">
        <f>Fardo!D432</f>
        <v>15.704918032786885</v>
      </c>
      <c r="L435" s="2">
        <f>Entworpe!D432</f>
        <v>12.5</v>
      </c>
      <c r="M435">
        <f t="shared" si="8"/>
        <v>17</v>
      </c>
    </row>
    <row r="436" spans="1:13" x14ac:dyDescent="0.2">
      <c r="A436">
        <v>432</v>
      </c>
      <c r="B436">
        <f>Calopeia!D68</f>
        <v>39</v>
      </c>
      <c r="C436">
        <f>Sorange!B433</f>
        <v>0</v>
      </c>
      <c r="D436">
        <f>Tyran!B433</f>
        <v>0</v>
      </c>
      <c r="E436">
        <f>Fardo!B433</f>
        <v>0</v>
      </c>
      <c r="F436" s="2">
        <f>Entworpe!B433</f>
        <v>0</v>
      </c>
      <c r="G436">
        <v>1162</v>
      </c>
      <c r="H436" s="2">
        <f>Calopeia!H68</f>
        <v>16.529495073980069</v>
      </c>
      <c r="I436" s="2">
        <f>Sorange!E433</f>
        <v>79.935738174868604</v>
      </c>
      <c r="J436" s="2">
        <f>Tyran!D433</f>
        <v>19.409836065573771</v>
      </c>
      <c r="K436" s="2">
        <f>Fardo!D433</f>
        <v>15.704918032786885</v>
      </c>
      <c r="L436" s="2">
        <f>Entworpe!D433</f>
        <v>12.5</v>
      </c>
      <c r="M436">
        <f t="shared" si="8"/>
        <v>39</v>
      </c>
    </row>
    <row r="437" spans="1:13" x14ac:dyDescent="0.2">
      <c r="A437">
        <v>433</v>
      </c>
      <c r="B437">
        <f>Calopeia!D69</f>
        <v>16</v>
      </c>
      <c r="C437">
        <f>Sorange!B434</f>
        <v>0</v>
      </c>
      <c r="D437">
        <f>Tyran!B434</f>
        <v>0</v>
      </c>
      <c r="E437">
        <f>Fardo!B434</f>
        <v>0</v>
      </c>
      <c r="F437" s="2">
        <f>Entworpe!B434</f>
        <v>0</v>
      </c>
      <c r="G437">
        <v>1163</v>
      </c>
      <c r="H437" s="2">
        <f>Calopeia!H69</f>
        <v>16.529495073980069</v>
      </c>
      <c r="I437" s="2">
        <f>Sorange!E434</f>
        <v>80.088389870998554</v>
      </c>
      <c r="J437" s="2">
        <f>Tyran!D434</f>
        <v>19.409836065573771</v>
      </c>
      <c r="K437" s="2">
        <f>Fardo!D434</f>
        <v>15.704918032786885</v>
      </c>
      <c r="L437" s="2">
        <f>Entworpe!D434</f>
        <v>12.5</v>
      </c>
      <c r="M437">
        <f t="shared" si="8"/>
        <v>16</v>
      </c>
    </row>
    <row r="438" spans="1:13" x14ac:dyDescent="0.2">
      <c r="A438">
        <v>434</v>
      </c>
      <c r="B438">
        <f>Calopeia!D70</f>
        <v>43</v>
      </c>
      <c r="C438">
        <f>Sorange!B435</f>
        <v>0</v>
      </c>
      <c r="D438">
        <f>Tyran!B435</f>
        <v>0</v>
      </c>
      <c r="E438">
        <f>Fardo!B435</f>
        <v>0</v>
      </c>
      <c r="F438" s="2">
        <f>Entworpe!B435</f>
        <v>0</v>
      </c>
      <c r="G438">
        <v>1164</v>
      </c>
      <c r="H438" s="2">
        <f>Calopeia!H70</f>
        <v>16.529495073980069</v>
      </c>
      <c r="I438" s="2">
        <f>Sorange!E435</f>
        <v>80.241041567128519</v>
      </c>
      <c r="J438" s="2">
        <f>Tyran!D435</f>
        <v>19.409836065573771</v>
      </c>
      <c r="K438" s="2">
        <f>Fardo!D435</f>
        <v>15.704918032786885</v>
      </c>
      <c r="L438" s="2">
        <f>Entworpe!D435</f>
        <v>12.5</v>
      </c>
      <c r="M438">
        <f t="shared" si="8"/>
        <v>43</v>
      </c>
    </row>
    <row r="439" spans="1:13" x14ac:dyDescent="0.2">
      <c r="A439">
        <v>435</v>
      </c>
      <c r="B439">
        <f>Calopeia!D71</f>
        <v>19</v>
      </c>
      <c r="C439">
        <f>Sorange!B436</f>
        <v>0</v>
      </c>
      <c r="D439">
        <f>Tyran!B436</f>
        <v>0</v>
      </c>
      <c r="E439">
        <f>Fardo!B436</f>
        <v>0</v>
      </c>
      <c r="F439" s="2">
        <f>Entworpe!B436</f>
        <v>0</v>
      </c>
      <c r="G439">
        <v>1165</v>
      </c>
      <c r="H439" s="2">
        <f>Calopeia!H71</f>
        <v>16.529495073980069</v>
      </c>
      <c r="I439" s="2">
        <f>Sorange!E436</f>
        <v>80.39369326325847</v>
      </c>
      <c r="J439" s="2">
        <f>Tyran!D436</f>
        <v>19.409836065573771</v>
      </c>
      <c r="K439" s="2">
        <f>Fardo!D436</f>
        <v>15.704918032786885</v>
      </c>
      <c r="L439" s="2">
        <f>Entworpe!D436</f>
        <v>12.5</v>
      </c>
      <c r="M439">
        <f t="shared" si="8"/>
        <v>19</v>
      </c>
    </row>
    <row r="440" spans="1:13" x14ac:dyDescent="0.2">
      <c r="A440">
        <v>436</v>
      </c>
      <c r="B440">
        <f>Calopeia!D72</f>
        <v>51</v>
      </c>
      <c r="C440">
        <f>Sorange!B437</f>
        <v>0</v>
      </c>
      <c r="D440">
        <f>Tyran!B437</f>
        <v>0</v>
      </c>
      <c r="E440">
        <f>Fardo!B437</f>
        <v>0</v>
      </c>
      <c r="F440" s="2">
        <f>Entworpe!B437</f>
        <v>0</v>
      </c>
      <c r="G440">
        <v>1166</v>
      </c>
      <c r="H440" s="2">
        <f>Calopeia!H72</f>
        <v>16.529495073980069</v>
      </c>
      <c r="I440" s="2">
        <f>Sorange!E437</f>
        <v>80.546344959388435</v>
      </c>
      <c r="J440" s="2">
        <f>Tyran!D437</f>
        <v>19.409836065573771</v>
      </c>
      <c r="K440" s="2">
        <f>Fardo!D437</f>
        <v>15.704918032786885</v>
      </c>
      <c r="L440" s="2">
        <f>Entworpe!D437</f>
        <v>12.5</v>
      </c>
      <c r="M440">
        <f t="shared" si="8"/>
        <v>51</v>
      </c>
    </row>
    <row r="441" spans="1:13" x14ac:dyDescent="0.2">
      <c r="A441">
        <v>437</v>
      </c>
      <c r="B441">
        <f>Calopeia!D73</f>
        <v>27</v>
      </c>
      <c r="C441">
        <f>Sorange!B438</f>
        <v>0</v>
      </c>
      <c r="D441">
        <f>Tyran!B438</f>
        <v>0</v>
      </c>
      <c r="E441">
        <f>Fardo!B438</f>
        <v>0</v>
      </c>
      <c r="F441" s="2">
        <f>Entworpe!B438</f>
        <v>0</v>
      </c>
      <c r="G441">
        <v>1167</v>
      </c>
      <c r="H441" s="2">
        <f>Calopeia!H73</f>
        <v>16.529495073980069</v>
      </c>
      <c r="I441" s="2">
        <f>Sorange!E438</f>
        <v>80.698996655518386</v>
      </c>
      <c r="J441" s="2">
        <f>Tyran!D438</f>
        <v>19.409836065573771</v>
      </c>
      <c r="K441" s="2">
        <f>Fardo!D438</f>
        <v>15.704918032786885</v>
      </c>
      <c r="L441" s="2">
        <f>Entworpe!D438</f>
        <v>12.5</v>
      </c>
      <c r="M441">
        <f t="shared" si="8"/>
        <v>27</v>
      </c>
    </row>
    <row r="442" spans="1:13" x14ac:dyDescent="0.2">
      <c r="A442">
        <v>438</v>
      </c>
      <c r="B442">
        <f>Calopeia!D74</f>
        <v>28</v>
      </c>
      <c r="C442">
        <f>Sorange!B439</f>
        <v>0</v>
      </c>
      <c r="D442">
        <f>Tyran!B439</f>
        <v>0</v>
      </c>
      <c r="E442">
        <f>Fardo!B439</f>
        <v>0</v>
      </c>
      <c r="F442" s="2">
        <f>Entworpe!B439</f>
        <v>0</v>
      </c>
      <c r="G442">
        <v>1168</v>
      </c>
      <c r="H442" s="2">
        <f>Calopeia!H74</f>
        <v>16.529495073980069</v>
      </c>
      <c r="I442" s="2">
        <f>Sorange!E439</f>
        <v>80.85164835164835</v>
      </c>
      <c r="J442" s="2">
        <f>Tyran!D439</f>
        <v>19.409836065573771</v>
      </c>
      <c r="K442" s="2">
        <f>Fardo!D439</f>
        <v>15.704918032786885</v>
      </c>
      <c r="L442" s="2">
        <f>Entworpe!D439</f>
        <v>12.5</v>
      </c>
      <c r="M442">
        <f t="shared" si="8"/>
        <v>28</v>
      </c>
    </row>
    <row r="443" spans="1:13" x14ac:dyDescent="0.2">
      <c r="A443">
        <v>439</v>
      </c>
      <c r="B443">
        <f>Calopeia!D75</f>
        <v>48</v>
      </c>
      <c r="C443">
        <f>Sorange!B440</f>
        <v>0</v>
      </c>
      <c r="D443">
        <f>Tyran!B440</f>
        <v>0</v>
      </c>
      <c r="E443">
        <f>Fardo!B440</f>
        <v>0</v>
      </c>
      <c r="F443" s="2">
        <f>Entworpe!B440</f>
        <v>0</v>
      </c>
      <c r="G443">
        <v>1169</v>
      </c>
      <c r="H443" s="2">
        <f>Calopeia!H75</f>
        <v>46.092250657496905</v>
      </c>
      <c r="I443" s="2">
        <f>Sorange!E440</f>
        <v>81.004300047778301</v>
      </c>
      <c r="J443" s="2">
        <f>Tyran!D440</f>
        <v>19.409836065573771</v>
      </c>
      <c r="K443" s="2">
        <f>Fardo!D440</f>
        <v>15.704918032786885</v>
      </c>
      <c r="L443" s="2">
        <f>Entworpe!D440</f>
        <v>12.5</v>
      </c>
      <c r="M443">
        <f t="shared" si="8"/>
        <v>48</v>
      </c>
    </row>
    <row r="444" spans="1:13" x14ac:dyDescent="0.2">
      <c r="A444">
        <v>440</v>
      </c>
      <c r="B444">
        <f>Calopeia!D76</f>
        <v>14</v>
      </c>
      <c r="C444">
        <f>Sorange!B441</f>
        <v>0</v>
      </c>
      <c r="D444">
        <f>Tyran!B441</f>
        <v>0</v>
      </c>
      <c r="E444">
        <f>Fardo!B441</f>
        <v>0</v>
      </c>
      <c r="F444" s="2">
        <f>Entworpe!B441</f>
        <v>0</v>
      </c>
      <c r="G444">
        <v>1170</v>
      </c>
      <c r="H444" s="2">
        <f>Calopeia!H76</f>
        <v>46.092250657496905</v>
      </c>
      <c r="I444" s="2">
        <f>Sorange!E441</f>
        <v>81.156951743908252</v>
      </c>
      <c r="J444" s="2">
        <f>Tyran!D441</f>
        <v>19.409836065573771</v>
      </c>
      <c r="K444" s="2">
        <f>Fardo!D441</f>
        <v>15.704918032786885</v>
      </c>
      <c r="L444" s="2">
        <f>Entworpe!D441</f>
        <v>12.5</v>
      </c>
      <c r="M444">
        <f t="shared" si="8"/>
        <v>14</v>
      </c>
    </row>
    <row r="445" spans="1:13" x14ac:dyDescent="0.2">
      <c r="A445">
        <v>441</v>
      </c>
      <c r="B445">
        <f>Calopeia!D77</f>
        <v>26</v>
      </c>
      <c r="C445">
        <f>Sorange!B442</f>
        <v>0</v>
      </c>
      <c r="D445">
        <f>Tyran!B442</f>
        <v>0</v>
      </c>
      <c r="E445">
        <f>Fardo!B442</f>
        <v>0</v>
      </c>
      <c r="F445" s="2">
        <f>Entworpe!B442</f>
        <v>0</v>
      </c>
      <c r="G445">
        <v>1171</v>
      </c>
      <c r="H445" s="2">
        <f>Calopeia!H77</f>
        <v>46.092250657496905</v>
      </c>
      <c r="I445" s="2">
        <f>Sorange!E442</f>
        <v>81.309603440038217</v>
      </c>
      <c r="J445" s="2">
        <f>Tyran!D442</f>
        <v>19.409836065573771</v>
      </c>
      <c r="K445" s="2">
        <f>Fardo!D442</f>
        <v>15.704918032786885</v>
      </c>
      <c r="L445" s="2">
        <f>Entworpe!D442</f>
        <v>12.5</v>
      </c>
      <c r="M445">
        <f t="shared" si="8"/>
        <v>26</v>
      </c>
    </row>
    <row r="446" spans="1:13" x14ac:dyDescent="0.2">
      <c r="A446">
        <v>442</v>
      </c>
      <c r="B446">
        <f>Calopeia!D78</f>
        <v>46</v>
      </c>
      <c r="C446">
        <f>Sorange!B443</f>
        <v>0</v>
      </c>
      <c r="D446">
        <f>Tyran!B443</f>
        <v>0</v>
      </c>
      <c r="E446">
        <f>Fardo!B443</f>
        <v>0</v>
      </c>
      <c r="F446" s="2">
        <f>Entworpe!B443</f>
        <v>0</v>
      </c>
      <c r="G446">
        <v>1172</v>
      </c>
      <c r="H446" s="2">
        <f>Calopeia!H78</f>
        <v>46.092250657496905</v>
      </c>
      <c r="I446" s="2">
        <f>Sorange!E443</f>
        <v>81.462255136168167</v>
      </c>
      <c r="J446" s="2">
        <f>Tyran!D443</f>
        <v>19.409836065573771</v>
      </c>
      <c r="K446" s="2">
        <f>Fardo!D443</f>
        <v>15.704918032786885</v>
      </c>
      <c r="L446" s="2">
        <f>Entworpe!D443</f>
        <v>12.5</v>
      </c>
      <c r="M446">
        <f t="shared" si="8"/>
        <v>46</v>
      </c>
    </row>
    <row r="447" spans="1:13" x14ac:dyDescent="0.2">
      <c r="A447">
        <v>443</v>
      </c>
      <c r="B447">
        <f>Calopeia!D79</f>
        <v>38</v>
      </c>
      <c r="C447">
        <f>Sorange!B444</f>
        <v>0</v>
      </c>
      <c r="D447">
        <f>Tyran!B444</f>
        <v>0</v>
      </c>
      <c r="E447">
        <f>Fardo!B444</f>
        <v>0</v>
      </c>
      <c r="F447" s="2">
        <f>Entworpe!B444</f>
        <v>0</v>
      </c>
      <c r="G447">
        <v>1173</v>
      </c>
      <c r="H447" s="2">
        <f>Calopeia!H79</f>
        <v>46.092250657496905</v>
      </c>
      <c r="I447" s="2">
        <f>Sorange!E444</f>
        <v>81.614906832298132</v>
      </c>
      <c r="J447" s="2">
        <f>Tyran!D444</f>
        <v>19.409836065573771</v>
      </c>
      <c r="K447" s="2">
        <f>Fardo!D444</f>
        <v>15.704918032786885</v>
      </c>
      <c r="L447" s="2">
        <f>Entworpe!D444</f>
        <v>12.5</v>
      </c>
      <c r="M447">
        <f t="shared" si="8"/>
        <v>38</v>
      </c>
    </row>
    <row r="448" spans="1:13" x14ac:dyDescent="0.2">
      <c r="A448">
        <v>444</v>
      </c>
      <c r="B448">
        <f>Calopeia!D80</f>
        <v>13</v>
      </c>
      <c r="C448">
        <f>Sorange!B445</f>
        <v>0</v>
      </c>
      <c r="D448">
        <f>Tyran!B445</f>
        <v>0</v>
      </c>
      <c r="E448">
        <f>Fardo!B445</f>
        <v>0</v>
      </c>
      <c r="F448" s="2">
        <f>Entworpe!B445</f>
        <v>0</v>
      </c>
      <c r="G448">
        <v>1174</v>
      </c>
      <c r="H448" s="2">
        <f>Calopeia!H80</f>
        <v>46.092250657496905</v>
      </c>
      <c r="I448" s="2">
        <f>Sorange!E445</f>
        <v>81.767558528428083</v>
      </c>
      <c r="J448" s="2">
        <f>Tyran!D445</f>
        <v>19.409836065573771</v>
      </c>
      <c r="K448" s="2">
        <f>Fardo!D445</f>
        <v>15.704918032786885</v>
      </c>
      <c r="L448" s="2">
        <f>Entworpe!D445</f>
        <v>12.5</v>
      </c>
      <c r="M448">
        <f t="shared" si="8"/>
        <v>13</v>
      </c>
    </row>
    <row r="449" spans="1:13" x14ac:dyDescent="0.2">
      <c r="A449">
        <v>445</v>
      </c>
      <c r="B449">
        <f>Calopeia!D81</f>
        <v>19</v>
      </c>
      <c r="C449">
        <f>Sorange!B446</f>
        <v>0</v>
      </c>
      <c r="D449">
        <f>Tyran!B446</f>
        <v>0</v>
      </c>
      <c r="E449">
        <f>Fardo!B446</f>
        <v>0</v>
      </c>
      <c r="F449" s="2">
        <f>Entworpe!B446</f>
        <v>0</v>
      </c>
      <c r="G449">
        <v>1175</v>
      </c>
      <c r="H449" s="2">
        <f>Calopeia!H81</f>
        <v>46.092250657496905</v>
      </c>
      <c r="I449" s="2">
        <f>Sorange!E446</f>
        <v>81.920210224558048</v>
      </c>
      <c r="J449" s="2">
        <f>Tyran!D446</f>
        <v>19.409836065573771</v>
      </c>
      <c r="K449" s="2">
        <f>Fardo!D446</f>
        <v>15.704918032786885</v>
      </c>
      <c r="L449" s="2">
        <f>Entworpe!D446</f>
        <v>12.5</v>
      </c>
      <c r="M449">
        <f t="shared" si="8"/>
        <v>19</v>
      </c>
    </row>
    <row r="450" spans="1:13" x14ac:dyDescent="0.2">
      <c r="A450">
        <v>446</v>
      </c>
      <c r="B450">
        <f>Calopeia!D82</f>
        <v>48</v>
      </c>
      <c r="C450">
        <f>Sorange!B447</f>
        <v>0</v>
      </c>
      <c r="D450">
        <f>Tyran!B447</f>
        <v>0</v>
      </c>
      <c r="E450">
        <f>Fardo!B447</f>
        <v>0</v>
      </c>
      <c r="F450" s="2">
        <f>Entworpe!B447</f>
        <v>0</v>
      </c>
      <c r="G450">
        <v>1176</v>
      </c>
      <c r="H450" s="2">
        <f>Calopeia!H82</f>
        <v>46.092250657496905</v>
      </c>
      <c r="I450" s="2">
        <f>Sorange!E447</f>
        <v>82.072861920687998</v>
      </c>
      <c r="J450" s="2">
        <f>Tyran!D447</f>
        <v>19.409836065573771</v>
      </c>
      <c r="K450" s="2">
        <f>Fardo!D447</f>
        <v>15.704918032786885</v>
      </c>
      <c r="L450" s="2">
        <f>Entworpe!D447</f>
        <v>12.5</v>
      </c>
      <c r="M450">
        <f t="shared" si="8"/>
        <v>48</v>
      </c>
    </row>
    <row r="451" spans="1:13" x14ac:dyDescent="0.2">
      <c r="A451">
        <v>447</v>
      </c>
      <c r="B451">
        <f>Calopeia!D83</f>
        <v>37</v>
      </c>
      <c r="C451">
        <f>Sorange!B448</f>
        <v>0</v>
      </c>
      <c r="D451">
        <f>Tyran!B448</f>
        <v>0</v>
      </c>
      <c r="E451">
        <f>Fardo!B448</f>
        <v>0</v>
      </c>
      <c r="F451" s="2">
        <f>Entworpe!B448</f>
        <v>0</v>
      </c>
      <c r="G451">
        <v>1177</v>
      </c>
      <c r="H451" s="2">
        <f>Calopeia!H83</f>
        <v>46.092250657496905</v>
      </c>
      <c r="I451" s="2">
        <f>Sorange!E448</f>
        <v>82.225513616817963</v>
      </c>
      <c r="J451" s="2">
        <f>Tyran!D448</f>
        <v>19.409836065573771</v>
      </c>
      <c r="K451" s="2">
        <f>Fardo!D448</f>
        <v>15.704918032786885</v>
      </c>
      <c r="L451" s="2">
        <f>Entworpe!D448</f>
        <v>12.5</v>
      </c>
      <c r="M451">
        <f t="shared" si="8"/>
        <v>37</v>
      </c>
    </row>
    <row r="452" spans="1:13" x14ac:dyDescent="0.2">
      <c r="A452">
        <v>448</v>
      </c>
      <c r="B452">
        <f>Calopeia!D84</f>
        <v>49</v>
      </c>
      <c r="C452">
        <f>Sorange!B449</f>
        <v>0</v>
      </c>
      <c r="D452">
        <f>Tyran!B449</f>
        <v>0</v>
      </c>
      <c r="E452">
        <f>Fardo!B449</f>
        <v>0</v>
      </c>
      <c r="F452" s="2">
        <f>Entworpe!B449</f>
        <v>0</v>
      </c>
      <c r="G452">
        <v>1178</v>
      </c>
      <c r="H452" s="2">
        <f>Calopeia!H84</f>
        <v>46.092250657496905</v>
      </c>
      <c r="I452" s="2">
        <f>Sorange!E449</f>
        <v>82.378165312947914</v>
      </c>
      <c r="J452" s="2">
        <f>Tyran!D449</f>
        <v>19.409836065573771</v>
      </c>
      <c r="K452" s="2">
        <f>Fardo!D449</f>
        <v>15.704918032786885</v>
      </c>
      <c r="L452" s="2">
        <f>Entworpe!D449</f>
        <v>12.5</v>
      </c>
      <c r="M452">
        <f t="shared" si="8"/>
        <v>49</v>
      </c>
    </row>
    <row r="453" spans="1:13" x14ac:dyDescent="0.2">
      <c r="A453">
        <v>449</v>
      </c>
      <c r="B453">
        <f>Calopeia!D85</f>
        <v>40</v>
      </c>
      <c r="C453">
        <f>Sorange!B450</f>
        <v>0</v>
      </c>
      <c r="D453">
        <f>Tyran!B450</f>
        <v>0</v>
      </c>
      <c r="E453">
        <f>Fardo!B450</f>
        <v>0</v>
      </c>
      <c r="F453" s="2">
        <f>Entworpe!B450</f>
        <v>0</v>
      </c>
      <c r="G453">
        <v>1179</v>
      </c>
      <c r="H453" s="2">
        <f>Calopeia!H85</f>
        <v>46.092250657496905</v>
      </c>
      <c r="I453" s="2">
        <f>Sorange!E450</f>
        <v>82.530817009077865</v>
      </c>
      <c r="J453" s="2">
        <f>Tyran!D450</f>
        <v>19.409836065573771</v>
      </c>
      <c r="K453" s="2">
        <f>Fardo!D450</f>
        <v>15.704918032786885</v>
      </c>
      <c r="L453" s="2">
        <f>Entworpe!D450</f>
        <v>12.5</v>
      </c>
      <c r="M453">
        <f t="shared" si="8"/>
        <v>40</v>
      </c>
    </row>
    <row r="454" spans="1:13" x14ac:dyDescent="0.2">
      <c r="A454">
        <v>450</v>
      </c>
      <c r="B454">
        <f>Calopeia!D86</f>
        <v>49</v>
      </c>
      <c r="C454">
        <f>Sorange!B451</f>
        <v>0</v>
      </c>
      <c r="D454">
        <f>Tyran!B451</f>
        <v>0</v>
      </c>
      <c r="E454">
        <f>Fardo!B451</f>
        <v>0</v>
      </c>
      <c r="F454" s="2">
        <f>Entworpe!B451</f>
        <v>0</v>
      </c>
      <c r="G454">
        <v>1180</v>
      </c>
      <c r="H454" s="2">
        <f>Calopeia!H86</f>
        <v>46.092250657496905</v>
      </c>
      <c r="I454" s="2">
        <f>Sorange!E451</f>
        <v>82.683468705207829</v>
      </c>
      <c r="J454" s="2">
        <f>Tyran!D451</f>
        <v>19.409836065573771</v>
      </c>
      <c r="K454" s="2">
        <f>Fardo!D451</f>
        <v>15.704918032786885</v>
      </c>
      <c r="L454" s="2">
        <f>Entworpe!D451</f>
        <v>12.5</v>
      </c>
      <c r="M454">
        <f t="shared" ref="M454:M517" si="9">B454+F454</f>
        <v>49</v>
      </c>
    </row>
    <row r="455" spans="1:13" x14ac:dyDescent="0.2">
      <c r="A455">
        <v>451</v>
      </c>
      <c r="B455">
        <f>Calopeia!D87</f>
        <v>37</v>
      </c>
      <c r="C455">
        <f>Sorange!B452</f>
        <v>0</v>
      </c>
      <c r="D455">
        <f>Tyran!B452</f>
        <v>0</v>
      </c>
      <c r="E455">
        <f>Fardo!B452</f>
        <v>0</v>
      </c>
      <c r="F455" s="2">
        <f>Entworpe!B452</f>
        <v>0</v>
      </c>
      <c r="G455">
        <v>1181</v>
      </c>
      <c r="H455" s="2">
        <f>Calopeia!H87</f>
        <v>46.092250657496905</v>
      </c>
      <c r="I455" s="2">
        <f>Sorange!E452</f>
        <v>82.83612040133778</v>
      </c>
      <c r="J455" s="2">
        <f>Tyran!D452</f>
        <v>19.409836065573771</v>
      </c>
      <c r="K455" s="2">
        <f>Fardo!D452</f>
        <v>15.704918032786885</v>
      </c>
      <c r="L455" s="2">
        <f>Entworpe!D452</f>
        <v>12.5</v>
      </c>
      <c r="M455">
        <f t="shared" si="9"/>
        <v>37</v>
      </c>
    </row>
    <row r="456" spans="1:13" x14ac:dyDescent="0.2">
      <c r="A456">
        <v>452</v>
      </c>
      <c r="B456">
        <f>Calopeia!D88</f>
        <v>38</v>
      </c>
      <c r="C456">
        <f>Sorange!B453</f>
        <v>0</v>
      </c>
      <c r="D456">
        <f>Tyran!B453</f>
        <v>0</v>
      </c>
      <c r="E456">
        <f>Fardo!B453</f>
        <v>0</v>
      </c>
      <c r="F456" s="2">
        <f>Entworpe!B453</f>
        <v>0</v>
      </c>
      <c r="G456">
        <v>1182</v>
      </c>
      <c r="H456" s="2">
        <f>Calopeia!H88</f>
        <v>46.092250657496905</v>
      </c>
      <c r="I456" s="2">
        <f>Sorange!E453</f>
        <v>82.988772097467745</v>
      </c>
      <c r="J456" s="2">
        <f>Tyran!D453</f>
        <v>19.409836065573771</v>
      </c>
      <c r="K456" s="2">
        <f>Fardo!D453</f>
        <v>15.704918032786885</v>
      </c>
      <c r="L456" s="2">
        <f>Entworpe!D453</f>
        <v>12.5</v>
      </c>
      <c r="M456">
        <f t="shared" si="9"/>
        <v>38</v>
      </c>
    </row>
    <row r="457" spans="1:13" x14ac:dyDescent="0.2">
      <c r="A457">
        <v>453</v>
      </c>
      <c r="B457">
        <f>Calopeia!D89</f>
        <v>46</v>
      </c>
      <c r="C457">
        <f>Sorange!B454</f>
        <v>0</v>
      </c>
      <c r="D457">
        <f>Tyran!B454</f>
        <v>0</v>
      </c>
      <c r="E457">
        <f>Fardo!B454</f>
        <v>0</v>
      </c>
      <c r="F457" s="2">
        <f>Entworpe!B454</f>
        <v>0</v>
      </c>
      <c r="G457">
        <v>1183</v>
      </c>
      <c r="H457" s="2">
        <f>Calopeia!H89</f>
        <v>46.092250657496905</v>
      </c>
      <c r="I457" s="2">
        <f>Sorange!E454</f>
        <v>83.141423793597696</v>
      </c>
      <c r="J457" s="2">
        <f>Tyran!D454</f>
        <v>19.409836065573771</v>
      </c>
      <c r="K457" s="2">
        <f>Fardo!D454</f>
        <v>15.704918032786885</v>
      </c>
      <c r="L457" s="2">
        <f>Entworpe!D454</f>
        <v>12.5</v>
      </c>
      <c r="M457">
        <f t="shared" si="9"/>
        <v>46</v>
      </c>
    </row>
    <row r="458" spans="1:13" x14ac:dyDescent="0.2">
      <c r="A458">
        <v>454</v>
      </c>
      <c r="B458">
        <f>Calopeia!D90</f>
        <v>31</v>
      </c>
      <c r="C458">
        <f>Sorange!B455</f>
        <v>0</v>
      </c>
      <c r="D458">
        <f>Tyran!B455</f>
        <v>0</v>
      </c>
      <c r="E458">
        <f>Fardo!B455</f>
        <v>0</v>
      </c>
      <c r="F458" s="2">
        <f>Entworpe!B455</f>
        <v>0</v>
      </c>
      <c r="G458">
        <v>1184</v>
      </c>
      <c r="H458" s="2">
        <f>Calopeia!H90</f>
        <v>46.092250657496905</v>
      </c>
      <c r="I458" s="2">
        <f>Sorange!E455</f>
        <v>83.294075489727661</v>
      </c>
      <c r="J458" s="2">
        <f>Tyran!D455</f>
        <v>19.409836065573771</v>
      </c>
      <c r="K458" s="2">
        <f>Fardo!D455</f>
        <v>15.704918032786885</v>
      </c>
      <c r="L458" s="2">
        <f>Entworpe!D455</f>
        <v>12.5</v>
      </c>
      <c r="M458">
        <f t="shared" si="9"/>
        <v>31</v>
      </c>
    </row>
    <row r="459" spans="1:13" x14ac:dyDescent="0.2">
      <c r="A459">
        <v>455</v>
      </c>
      <c r="B459">
        <f>Calopeia!D91</f>
        <v>41</v>
      </c>
      <c r="C459">
        <f>Sorange!B456</f>
        <v>0</v>
      </c>
      <c r="D459">
        <f>Tyran!B456</f>
        <v>0</v>
      </c>
      <c r="E459">
        <f>Fardo!B456</f>
        <v>0</v>
      </c>
      <c r="F459" s="2">
        <f>Entworpe!B456</f>
        <v>0</v>
      </c>
      <c r="G459">
        <v>1185</v>
      </c>
      <c r="H459" s="2">
        <f>Calopeia!H91</f>
        <v>46.092250657496905</v>
      </c>
      <c r="I459" s="2">
        <f>Sorange!E456</f>
        <v>83.446727185857611</v>
      </c>
      <c r="J459" s="2">
        <f>Tyran!D456</f>
        <v>19.409836065573771</v>
      </c>
      <c r="K459" s="2">
        <f>Fardo!D456</f>
        <v>15.704918032786885</v>
      </c>
      <c r="L459" s="2">
        <f>Entworpe!D456</f>
        <v>12.5</v>
      </c>
      <c r="M459">
        <f t="shared" si="9"/>
        <v>41</v>
      </c>
    </row>
    <row r="460" spans="1:13" x14ac:dyDescent="0.2">
      <c r="A460">
        <v>456</v>
      </c>
      <c r="B460">
        <f>Calopeia!D92</f>
        <v>16</v>
      </c>
      <c r="C460">
        <f>Sorange!B457</f>
        <v>0</v>
      </c>
      <c r="D460">
        <f>Tyran!B457</f>
        <v>0</v>
      </c>
      <c r="E460">
        <f>Fardo!B457</f>
        <v>0</v>
      </c>
      <c r="F460" s="2">
        <f>Entworpe!B457</f>
        <v>0</v>
      </c>
      <c r="G460">
        <v>1186</v>
      </c>
      <c r="H460" s="2">
        <f>Calopeia!H92</f>
        <v>46.092250657496905</v>
      </c>
      <c r="I460" s="2">
        <f>Sorange!E457</f>
        <v>83.599378881987576</v>
      </c>
      <c r="J460" s="2">
        <f>Tyran!D457</f>
        <v>19.409836065573771</v>
      </c>
      <c r="K460" s="2">
        <f>Fardo!D457</f>
        <v>15.704918032786885</v>
      </c>
      <c r="L460" s="2">
        <f>Entworpe!D457</f>
        <v>12.5</v>
      </c>
      <c r="M460">
        <f t="shared" si="9"/>
        <v>16</v>
      </c>
    </row>
    <row r="461" spans="1:13" x14ac:dyDescent="0.2">
      <c r="A461">
        <v>457</v>
      </c>
      <c r="B461">
        <f>Calopeia!D93</f>
        <v>23</v>
      </c>
      <c r="C461">
        <f>Sorange!B458</f>
        <v>0</v>
      </c>
      <c r="D461">
        <f>Tyran!B458</f>
        <v>0</v>
      </c>
      <c r="E461">
        <f>Fardo!B458</f>
        <v>0</v>
      </c>
      <c r="F461" s="2">
        <f>Entworpe!B458</f>
        <v>0</v>
      </c>
      <c r="G461">
        <v>1187</v>
      </c>
      <c r="H461" s="2">
        <f>Calopeia!H93</f>
        <v>46.092250657496905</v>
      </c>
      <c r="I461" s="2">
        <f>Sorange!E458</f>
        <v>83.752030578117527</v>
      </c>
      <c r="J461" s="2">
        <f>Tyran!D458</f>
        <v>19.409836065573771</v>
      </c>
      <c r="K461" s="2">
        <f>Fardo!D458</f>
        <v>15.704918032786885</v>
      </c>
      <c r="L461" s="2">
        <f>Entworpe!D458</f>
        <v>12.5</v>
      </c>
      <c r="M461">
        <f t="shared" si="9"/>
        <v>23</v>
      </c>
    </row>
    <row r="462" spans="1:13" x14ac:dyDescent="0.2">
      <c r="A462">
        <v>458</v>
      </c>
      <c r="B462">
        <f>Calopeia!D94</f>
        <v>26</v>
      </c>
      <c r="C462">
        <f>Sorange!B459</f>
        <v>0</v>
      </c>
      <c r="D462">
        <f>Tyran!B459</f>
        <v>0</v>
      </c>
      <c r="E462">
        <f>Fardo!B459</f>
        <v>0</v>
      </c>
      <c r="F462" s="2">
        <f>Entworpe!B459</f>
        <v>0</v>
      </c>
      <c r="G462">
        <v>1188</v>
      </c>
      <c r="H462" s="2">
        <f>Calopeia!H94</f>
        <v>46.092250657496905</v>
      </c>
      <c r="I462" s="2">
        <f>Sorange!E459</f>
        <v>83.904682274247477</v>
      </c>
      <c r="J462" s="2">
        <f>Tyran!D459</f>
        <v>19.409836065573771</v>
      </c>
      <c r="K462" s="2">
        <f>Fardo!D459</f>
        <v>15.704918032786885</v>
      </c>
      <c r="L462" s="2">
        <f>Entworpe!D459</f>
        <v>12.5</v>
      </c>
      <c r="M462">
        <f t="shared" si="9"/>
        <v>26</v>
      </c>
    </row>
    <row r="463" spans="1:13" x14ac:dyDescent="0.2">
      <c r="A463">
        <v>459</v>
      </c>
      <c r="B463">
        <f>Calopeia!D95</f>
        <v>40</v>
      </c>
      <c r="C463">
        <f>Sorange!B460</f>
        <v>0</v>
      </c>
      <c r="D463">
        <f>Tyran!B460</f>
        <v>0</v>
      </c>
      <c r="E463">
        <f>Fardo!B460</f>
        <v>0</v>
      </c>
      <c r="F463" s="2">
        <f>Entworpe!B460</f>
        <v>0</v>
      </c>
      <c r="G463">
        <v>1189</v>
      </c>
      <c r="H463" s="2">
        <f>Calopeia!H95</f>
        <v>46.092250657496905</v>
      </c>
      <c r="I463" s="2">
        <f>Sorange!E460</f>
        <v>84.057333970377442</v>
      </c>
      <c r="J463" s="2">
        <f>Tyran!D460</f>
        <v>19.409836065573771</v>
      </c>
      <c r="K463" s="2">
        <f>Fardo!D460</f>
        <v>15.704918032786885</v>
      </c>
      <c r="L463" s="2">
        <f>Entworpe!D460</f>
        <v>12.5</v>
      </c>
      <c r="M463">
        <f t="shared" si="9"/>
        <v>40</v>
      </c>
    </row>
    <row r="464" spans="1:13" x14ac:dyDescent="0.2">
      <c r="A464">
        <v>460</v>
      </c>
      <c r="B464">
        <f>Calopeia!D96</f>
        <v>47</v>
      </c>
      <c r="C464">
        <f>Sorange!B461</f>
        <v>0</v>
      </c>
      <c r="D464">
        <f>Tyran!B461</f>
        <v>0</v>
      </c>
      <c r="E464">
        <f>Fardo!B461</f>
        <v>0</v>
      </c>
      <c r="F464" s="2">
        <f>Entworpe!B461</f>
        <v>0</v>
      </c>
      <c r="G464">
        <v>1190</v>
      </c>
      <c r="H464" s="2">
        <f>Calopeia!H96</f>
        <v>46.092250657496905</v>
      </c>
      <c r="I464" s="2">
        <f>Sorange!E461</f>
        <v>84.209985666507393</v>
      </c>
      <c r="J464" s="2">
        <f>Tyran!D461</f>
        <v>19.409836065573771</v>
      </c>
      <c r="K464" s="2">
        <f>Fardo!D461</f>
        <v>15.704918032786885</v>
      </c>
      <c r="L464" s="2">
        <f>Entworpe!D461</f>
        <v>12.5</v>
      </c>
      <c r="M464">
        <f t="shared" si="9"/>
        <v>47</v>
      </c>
    </row>
    <row r="465" spans="1:13" x14ac:dyDescent="0.2">
      <c r="A465">
        <v>461</v>
      </c>
      <c r="B465">
        <f>Calopeia!D97</f>
        <v>25</v>
      </c>
      <c r="C465">
        <f>Sorange!B462</f>
        <v>0</v>
      </c>
      <c r="D465">
        <f>Tyran!B462</f>
        <v>0</v>
      </c>
      <c r="E465">
        <f>Fardo!B462</f>
        <v>0</v>
      </c>
      <c r="F465" s="2">
        <f>Entworpe!B462</f>
        <v>0</v>
      </c>
      <c r="G465">
        <v>1191</v>
      </c>
      <c r="H465" s="2">
        <f>Calopeia!H97</f>
        <v>46.092250657496905</v>
      </c>
      <c r="I465" s="2">
        <f>Sorange!E462</f>
        <v>84.362637362637358</v>
      </c>
      <c r="J465" s="2">
        <f>Tyran!D462</f>
        <v>19.409836065573771</v>
      </c>
      <c r="K465" s="2">
        <f>Fardo!D462</f>
        <v>15.704918032786885</v>
      </c>
      <c r="L465" s="2">
        <f>Entworpe!D462</f>
        <v>12.5</v>
      </c>
      <c r="M465">
        <f t="shared" si="9"/>
        <v>25</v>
      </c>
    </row>
    <row r="466" spans="1:13" x14ac:dyDescent="0.2">
      <c r="A466">
        <v>462</v>
      </c>
      <c r="B466">
        <f>Calopeia!D98</f>
        <v>26</v>
      </c>
      <c r="C466">
        <f>Sorange!B463</f>
        <v>0</v>
      </c>
      <c r="D466">
        <f>Tyran!B463</f>
        <v>0</v>
      </c>
      <c r="E466">
        <f>Fardo!B463</f>
        <v>0</v>
      </c>
      <c r="F466" s="2">
        <f>Entworpe!B463</f>
        <v>0</v>
      </c>
      <c r="G466">
        <v>1192</v>
      </c>
      <c r="H466" s="2">
        <f>Calopeia!H98</f>
        <v>46.092250657496905</v>
      </c>
      <c r="I466" s="2">
        <f>Sorange!E463</f>
        <v>84.515289058767308</v>
      </c>
      <c r="J466" s="2">
        <f>Tyran!D463</f>
        <v>19.409836065573771</v>
      </c>
      <c r="K466" s="2">
        <f>Fardo!D463</f>
        <v>15.704918032786885</v>
      </c>
      <c r="L466" s="2">
        <f>Entworpe!D463</f>
        <v>12.5</v>
      </c>
      <c r="M466">
        <f t="shared" si="9"/>
        <v>26</v>
      </c>
    </row>
    <row r="467" spans="1:13" x14ac:dyDescent="0.2">
      <c r="A467">
        <v>463</v>
      </c>
      <c r="B467">
        <f>Calopeia!D99</f>
        <v>51</v>
      </c>
      <c r="C467">
        <f>Sorange!B464</f>
        <v>0</v>
      </c>
      <c r="D467">
        <f>Tyran!B464</f>
        <v>0</v>
      </c>
      <c r="E467">
        <f>Fardo!B464</f>
        <v>0</v>
      </c>
      <c r="F467" s="2">
        <f>Entworpe!B464</f>
        <v>0</v>
      </c>
      <c r="G467">
        <v>1193</v>
      </c>
      <c r="H467" s="2">
        <f>Calopeia!H99</f>
        <v>46.092250657496905</v>
      </c>
      <c r="I467" s="2">
        <f>Sorange!E464</f>
        <v>84.667940754897273</v>
      </c>
      <c r="J467" s="2">
        <f>Tyran!D464</f>
        <v>19.409836065573771</v>
      </c>
      <c r="K467" s="2">
        <f>Fardo!D464</f>
        <v>15.704918032786885</v>
      </c>
      <c r="L467" s="2">
        <f>Entworpe!D464</f>
        <v>12.5</v>
      </c>
      <c r="M467">
        <f t="shared" si="9"/>
        <v>51</v>
      </c>
    </row>
    <row r="468" spans="1:13" x14ac:dyDescent="0.2">
      <c r="A468">
        <v>464</v>
      </c>
      <c r="B468">
        <f>Calopeia!D100</f>
        <v>28</v>
      </c>
      <c r="C468">
        <f>Sorange!B465</f>
        <v>0</v>
      </c>
      <c r="D468">
        <f>Tyran!B465</f>
        <v>0</v>
      </c>
      <c r="E468">
        <f>Fardo!B465</f>
        <v>0</v>
      </c>
      <c r="F468" s="2">
        <f>Entworpe!B465</f>
        <v>0</v>
      </c>
      <c r="G468">
        <v>1194</v>
      </c>
      <c r="H468" s="2">
        <f>Calopeia!H100</f>
        <v>46.092250657496905</v>
      </c>
      <c r="I468" s="2">
        <f>Sorange!E465</f>
        <v>84.820592451027224</v>
      </c>
      <c r="J468" s="2">
        <f>Tyran!D465</f>
        <v>19.409836065573771</v>
      </c>
      <c r="K468" s="2">
        <f>Fardo!D465</f>
        <v>15.704918032786885</v>
      </c>
      <c r="L468" s="2">
        <f>Entworpe!D465</f>
        <v>12.5</v>
      </c>
      <c r="M468">
        <f t="shared" si="9"/>
        <v>28</v>
      </c>
    </row>
    <row r="469" spans="1:13" x14ac:dyDescent="0.2">
      <c r="A469">
        <v>465</v>
      </c>
      <c r="B469">
        <f>Calopeia!D101</f>
        <v>46</v>
      </c>
      <c r="C469">
        <f>Sorange!B466</f>
        <v>0</v>
      </c>
      <c r="D469">
        <f>Tyran!B466</f>
        <v>0</v>
      </c>
      <c r="E469">
        <f>Fardo!B466</f>
        <v>0</v>
      </c>
      <c r="F469" s="2">
        <f>Entworpe!B466</f>
        <v>0</v>
      </c>
      <c r="G469">
        <v>1195</v>
      </c>
      <c r="H469" s="2">
        <f>Calopeia!H101</f>
        <v>46.092250657496905</v>
      </c>
      <c r="I469" s="2">
        <f>Sorange!E466</f>
        <v>84.973244147157189</v>
      </c>
      <c r="J469" s="2">
        <f>Tyran!D466</f>
        <v>19.409836065573771</v>
      </c>
      <c r="K469" s="2">
        <f>Fardo!D466</f>
        <v>15.704918032786885</v>
      </c>
      <c r="L469" s="2">
        <f>Entworpe!D466</f>
        <v>12.5</v>
      </c>
      <c r="M469">
        <f t="shared" si="9"/>
        <v>46</v>
      </c>
    </row>
    <row r="470" spans="1:13" x14ac:dyDescent="0.2">
      <c r="A470">
        <v>466</v>
      </c>
      <c r="B470">
        <f>Calopeia!D102</f>
        <v>45</v>
      </c>
      <c r="C470">
        <f>Sorange!B467</f>
        <v>0</v>
      </c>
      <c r="D470">
        <f>Tyran!B467</f>
        <v>0</v>
      </c>
      <c r="E470">
        <f>Fardo!B467</f>
        <v>0</v>
      </c>
      <c r="F470" s="2">
        <f>Entworpe!B467</f>
        <v>0</v>
      </c>
      <c r="G470">
        <v>1196</v>
      </c>
      <c r="H470" s="2">
        <f>Calopeia!H102</f>
        <v>46.092250657496905</v>
      </c>
      <c r="I470" s="2">
        <f>Sorange!E467</f>
        <v>85.12589584328714</v>
      </c>
      <c r="J470" s="2">
        <f>Tyran!D467</f>
        <v>19.409836065573771</v>
      </c>
      <c r="K470" s="2">
        <f>Fardo!D467</f>
        <v>15.704918032786885</v>
      </c>
      <c r="L470" s="2">
        <f>Entworpe!D467</f>
        <v>12.5</v>
      </c>
      <c r="M470">
        <f t="shared" si="9"/>
        <v>45</v>
      </c>
    </row>
    <row r="471" spans="1:13" x14ac:dyDescent="0.2">
      <c r="A471">
        <v>467</v>
      </c>
      <c r="B471">
        <f>Calopeia!D103</f>
        <v>43</v>
      </c>
      <c r="C471">
        <f>Sorange!B468</f>
        <v>0</v>
      </c>
      <c r="D471">
        <f>Tyran!B468</f>
        <v>0</v>
      </c>
      <c r="E471">
        <f>Fardo!B468</f>
        <v>0</v>
      </c>
      <c r="F471" s="2">
        <f>Entworpe!B468</f>
        <v>0</v>
      </c>
      <c r="G471">
        <v>1197</v>
      </c>
      <c r="H471" s="2">
        <f>Calopeia!H103</f>
        <v>46.092250657496905</v>
      </c>
      <c r="I471" s="2">
        <f>Sorange!E468</f>
        <v>85.27854753941709</v>
      </c>
      <c r="J471" s="2">
        <f>Tyran!D468</f>
        <v>19.409836065573771</v>
      </c>
      <c r="K471" s="2">
        <f>Fardo!D468</f>
        <v>15.704918032786885</v>
      </c>
      <c r="L471" s="2">
        <f>Entworpe!D468</f>
        <v>12.5</v>
      </c>
      <c r="M471">
        <f t="shared" si="9"/>
        <v>43</v>
      </c>
    </row>
    <row r="472" spans="1:13" x14ac:dyDescent="0.2">
      <c r="A472">
        <v>468</v>
      </c>
      <c r="B472">
        <f>Calopeia!D104</f>
        <v>26</v>
      </c>
      <c r="C472">
        <f>Sorange!B469</f>
        <v>0</v>
      </c>
      <c r="D472">
        <f>Tyran!B469</f>
        <v>0</v>
      </c>
      <c r="E472">
        <f>Fardo!B469</f>
        <v>0</v>
      </c>
      <c r="F472" s="2">
        <f>Entworpe!B469</f>
        <v>0</v>
      </c>
      <c r="G472">
        <v>1198</v>
      </c>
      <c r="H472" s="2">
        <f>Calopeia!H104</f>
        <v>46.092250657496905</v>
      </c>
      <c r="I472" s="2">
        <f>Sorange!E469</f>
        <v>85.431199235547055</v>
      </c>
      <c r="J472" s="2">
        <f>Tyran!D469</f>
        <v>19.409836065573771</v>
      </c>
      <c r="K472" s="2">
        <f>Fardo!D469</f>
        <v>15.704918032786885</v>
      </c>
      <c r="L472" s="2">
        <f>Entworpe!D469</f>
        <v>12.5</v>
      </c>
      <c r="M472">
        <f t="shared" si="9"/>
        <v>26</v>
      </c>
    </row>
    <row r="473" spans="1:13" x14ac:dyDescent="0.2">
      <c r="A473">
        <v>469</v>
      </c>
      <c r="B473">
        <f>Calopeia!D105</f>
        <v>50</v>
      </c>
      <c r="C473">
        <f>Sorange!B470</f>
        <v>0</v>
      </c>
      <c r="D473">
        <f>Tyran!B470</f>
        <v>0</v>
      </c>
      <c r="E473">
        <f>Fardo!B470</f>
        <v>0</v>
      </c>
      <c r="F473" s="2">
        <f>Entworpe!B470</f>
        <v>0</v>
      </c>
      <c r="G473">
        <v>1199</v>
      </c>
      <c r="H473" s="2">
        <f>Calopeia!H105</f>
        <v>46.092250657496905</v>
      </c>
      <c r="I473" s="2">
        <f>Sorange!E470</f>
        <v>85.583850931677006</v>
      </c>
      <c r="J473" s="2">
        <f>Tyran!D470</f>
        <v>19.409836065573771</v>
      </c>
      <c r="K473" s="2">
        <f>Fardo!D470</f>
        <v>15.704918032786885</v>
      </c>
      <c r="L473" s="2">
        <f>Entworpe!D470</f>
        <v>12.5</v>
      </c>
      <c r="M473">
        <f t="shared" si="9"/>
        <v>50</v>
      </c>
    </row>
    <row r="474" spans="1:13" x14ac:dyDescent="0.2">
      <c r="A474">
        <v>470</v>
      </c>
      <c r="B474">
        <f>Calopeia!D106</f>
        <v>26</v>
      </c>
      <c r="C474">
        <f>Sorange!B471</f>
        <v>0</v>
      </c>
      <c r="D474">
        <f>Tyran!B471</f>
        <v>0</v>
      </c>
      <c r="E474">
        <f>Fardo!B471</f>
        <v>0</v>
      </c>
      <c r="F474" s="2">
        <f>Entworpe!B471</f>
        <v>0</v>
      </c>
      <c r="G474">
        <v>1200</v>
      </c>
      <c r="H474" s="2">
        <f>Calopeia!H106</f>
        <v>46.092250657496905</v>
      </c>
      <c r="I474" s="2">
        <f>Sorange!E471</f>
        <v>85.736502627806971</v>
      </c>
      <c r="J474" s="2">
        <f>Tyran!D471</f>
        <v>19.409836065573771</v>
      </c>
      <c r="K474" s="2">
        <f>Fardo!D471</f>
        <v>15.704918032786885</v>
      </c>
      <c r="L474" s="2">
        <f>Entworpe!D471</f>
        <v>12.5</v>
      </c>
      <c r="M474">
        <f t="shared" si="9"/>
        <v>26</v>
      </c>
    </row>
    <row r="475" spans="1:13" x14ac:dyDescent="0.2">
      <c r="A475">
        <v>471</v>
      </c>
      <c r="B475">
        <f>Calopeia!D107</f>
        <v>64</v>
      </c>
      <c r="C475">
        <f>Sorange!B472</f>
        <v>0</v>
      </c>
      <c r="D475">
        <f>Tyran!B472</f>
        <v>0</v>
      </c>
      <c r="E475">
        <f>Fardo!B472</f>
        <v>0</v>
      </c>
      <c r="F475" s="2">
        <f>Entworpe!B472</f>
        <v>0</v>
      </c>
      <c r="G475">
        <v>1201</v>
      </c>
      <c r="H475" s="2">
        <f>Calopeia!H107</f>
        <v>46.092250657496905</v>
      </c>
      <c r="I475" s="2">
        <f>Sorange!E472</f>
        <v>85.889154323936921</v>
      </c>
      <c r="J475" s="2">
        <f>Tyran!D472</f>
        <v>19.409836065573771</v>
      </c>
      <c r="K475" s="2">
        <f>Fardo!D472</f>
        <v>15.704918032786885</v>
      </c>
      <c r="L475" s="2">
        <f>Entworpe!D472</f>
        <v>12.5</v>
      </c>
      <c r="M475">
        <f t="shared" si="9"/>
        <v>64</v>
      </c>
    </row>
    <row r="476" spans="1:13" x14ac:dyDescent="0.2">
      <c r="A476">
        <v>472</v>
      </c>
      <c r="B476">
        <f>Calopeia!D108</f>
        <v>33</v>
      </c>
      <c r="C476">
        <f>Sorange!B473</f>
        <v>0</v>
      </c>
      <c r="D476">
        <f>Tyran!B473</f>
        <v>0</v>
      </c>
      <c r="E476">
        <f>Fardo!B473</f>
        <v>0</v>
      </c>
      <c r="F476" s="2">
        <f>Entworpe!B473</f>
        <v>0</v>
      </c>
      <c r="G476">
        <v>1202</v>
      </c>
      <c r="H476" s="2">
        <f>Calopeia!H108</f>
        <v>46.092250657496905</v>
      </c>
      <c r="I476" s="2">
        <f>Sorange!E473</f>
        <v>86.041806020066886</v>
      </c>
      <c r="J476" s="2">
        <f>Tyran!D473</f>
        <v>19.409836065573771</v>
      </c>
      <c r="K476" s="2">
        <f>Fardo!D473</f>
        <v>15.704918032786885</v>
      </c>
      <c r="L476" s="2">
        <f>Entworpe!D473</f>
        <v>12.5</v>
      </c>
      <c r="M476">
        <f t="shared" si="9"/>
        <v>33</v>
      </c>
    </row>
    <row r="477" spans="1:13" x14ac:dyDescent="0.2">
      <c r="A477">
        <v>473</v>
      </c>
      <c r="B477">
        <f>Calopeia!D109</f>
        <v>57</v>
      </c>
      <c r="C477">
        <f>Sorange!B474</f>
        <v>0</v>
      </c>
      <c r="D477">
        <f>Tyran!B474</f>
        <v>0</v>
      </c>
      <c r="E477">
        <f>Fardo!B474</f>
        <v>0</v>
      </c>
      <c r="F477" s="2">
        <f>Entworpe!B474</f>
        <v>0</v>
      </c>
      <c r="G477">
        <v>1203</v>
      </c>
      <c r="H477" s="2">
        <f>Calopeia!H109</f>
        <v>46.092250657496905</v>
      </c>
      <c r="I477" s="2">
        <f>Sorange!E474</f>
        <v>86.194457716196837</v>
      </c>
      <c r="J477" s="2">
        <f>Tyran!D474</f>
        <v>19.409836065573771</v>
      </c>
      <c r="K477" s="2">
        <f>Fardo!D474</f>
        <v>15.704918032786885</v>
      </c>
      <c r="L477" s="2">
        <f>Entworpe!D474</f>
        <v>12.5</v>
      </c>
      <c r="M477">
        <f t="shared" si="9"/>
        <v>57</v>
      </c>
    </row>
    <row r="478" spans="1:13" x14ac:dyDescent="0.2">
      <c r="A478">
        <v>474</v>
      </c>
      <c r="B478">
        <f>Calopeia!D110</f>
        <v>38</v>
      </c>
      <c r="C478">
        <f>Sorange!B475</f>
        <v>0</v>
      </c>
      <c r="D478">
        <f>Tyran!B475</f>
        <v>0</v>
      </c>
      <c r="E478">
        <f>Fardo!B475</f>
        <v>0</v>
      </c>
      <c r="F478" s="2">
        <f>Entworpe!B475</f>
        <v>0</v>
      </c>
      <c r="G478">
        <v>1204</v>
      </c>
      <c r="H478" s="2">
        <f>Calopeia!H110</f>
        <v>46.092250657496905</v>
      </c>
      <c r="I478" s="2">
        <f>Sorange!E475</f>
        <v>86.347109412326802</v>
      </c>
      <c r="J478" s="2">
        <f>Tyran!D475</f>
        <v>19.409836065573771</v>
      </c>
      <c r="K478" s="2">
        <f>Fardo!D475</f>
        <v>15.704918032786885</v>
      </c>
      <c r="L478" s="2">
        <f>Entworpe!D475</f>
        <v>12.5</v>
      </c>
      <c r="M478">
        <f t="shared" si="9"/>
        <v>38</v>
      </c>
    </row>
    <row r="479" spans="1:13" x14ac:dyDescent="0.2">
      <c r="A479">
        <v>475</v>
      </c>
      <c r="B479">
        <f>Calopeia!D111</f>
        <v>36</v>
      </c>
      <c r="C479">
        <f>Sorange!B476</f>
        <v>0</v>
      </c>
      <c r="D479">
        <f>Tyran!B476</f>
        <v>0</v>
      </c>
      <c r="E479">
        <f>Fardo!B476</f>
        <v>0</v>
      </c>
      <c r="F479" s="2">
        <f>Entworpe!B476</f>
        <v>0</v>
      </c>
      <c r="G479">
        <v>1205</v>
      </c>
      <c r="H479" s="2">
        <f>Calopeia!H111</f>
        <v>46.092250657496905</v>
      </c>
      <c r="I479" s="2">
        <f>Sorange!E476</f>
        <v>86.499761108456752</v>
      </c>
      <c r="J479" s="2">
        <f>Tyran!D476</f>
        <v>19.409836065573771</v>
      </c>
      <c r="K479" s="2">
        <f>Fardo!D476</f>
        <v>15.704918032786885</v>
      </c>
      <c r="L479" s="2">
        <f>Entworpe!D476</f>
        <v>12.5</v>
      </c>
      <c r="M479">
        <f t="shared" si="9"/>
        <v>36</v>
      </c>
    </row>
    <row r="480" spans="1:13" x14ac:dyDescent="0.2">
      <c r="A480">
        <v>476</v>
      </c>
      <c r="B480">
        <f>Calopeia!D112</f>
        <v>40</v>
      </c>
      <c r="C480">
        <f>Sorange!B477</f>
        <v>0</v>
      </c>
      <c r="D480">
        <f>Tyran!B477</f>
        <v>0</v>
      </c>
      <c r="E480">
        <f>Fardo!B477</f>
        <v>0</v>
      </c>
      <c r="F480" s="2">
        <f>Entworpe!B477</f>
        <v>0</v>
      </c>
      <c r="G480">
        <v>1206</v>
      </c>
      <c r="H480" s="2">
        <f>Calopeia!H112</f>
        <v>46.092250657496905</v>
      </c>
      <c r="I480" s="2">
        <f>Sorange!E477</f>
        <v>86.652412804586703</v>
      </c>
      <c r="J480" s="2">
        <f>Tyran!D477</f>
        <v>19.409836065573771</v>
      </c>
      <c r="K480" s="2">
        <f>Fardo!D477</f>
        <v>15.704918032786885</v>
      </c>
      <c r="L480" s="2">
        <f>Entworpe!D477</f>
        <v>12.5</v>
      </c>
      <c r="M480">
        <f t="shared" si="9"/>
        <v>40</v>
      </c>
    </row>
    <row r="481" spans="1:13" x14ac:dyDescent="0.2">
      <c r="A481">
        <v>477</v>
      </c>
      <c r="B481">
        <f>Calopeia!D113</f>
        <v>36</v>
      </c>
      <c r="C481">
        <f>Sorange!B478</f>
        <v>0</v>
      </c>
      <c r="D481">
        <f>Tyran!B478</f>
        <v>0</v>
      </c>
      <c r="E481">
        <f>Fardo!B478</f>
        <v>0</v>
      </c>
      <c r="F481" s="2">
        <f>Entworpe!B478</f>
        <v>0</v>
      </c>
      <c r="G481">
        <v>1207</v>
      </c>
      <c r="H481" s="2">
        <f>Calopeia!H113</f>
        <v>46.092250657496905</v>
      </c>
      <c r="I481" s="2">
        <f>Sorange!E478</f>
        <v>86.805064500716668</v>
      </c>
      <c r="J481" s="2">
        <f>Tyran!D478</f>
        <v>19.409836065573771</v>
      </c>
      <c r="K481" s="2">
        <f>Fardo!D478</f>
        <v>15.704918032786885</v>
      </c>
      <c r="L481" s="2">
        <f>Entworpe!D478</f>
        <v>12.5</v>
      </c>
      <c r="M481">
        <f t="shared" si="9"/>
        <v>36</v>
      </c>
    </row>
    <row r="482" spans="1:13" x14ac:dyDescent="0.2">
      <c r="A482">
        <v>478</v>
      </c>
      <c r="B482">
        <f>Calopeia!D114</f>
        <v>79</v>
      </c>
      <c r="C482">
        <f>Sorange!B479</f>
        <v>0</v>
      </c>
      <c r="D482">
        <f>Tyran!B479</f>
        <v>0</v>
      </c>
      <c r="E482">
        <f>Fardo!B479</f>
        <v>0</v>
      </c>
      <c r="F482" s="2">
        <f>Entworpe!B479</f>
        <v>0</v>
      </c>
      <c r="G482">
        <v>1208</v>
      </c>
      <c r="H482" s="2">
        <f>Calopeia!H114</f>
        <v>46.092250657496905</v>
      </c>
      <c r="I482" s="2">
        <f>Sorange!E479</f>
        <v>86.957716196846619</v>
      </c>
      <c r="J482" s="2">
        <f>Tyran!D479</f>
        <v>19.409836065573771</v>
      </c>
      <c r="K482" s="2">
        <f>Fardo!D479</f>
        <v>15.704918032786885</v>
      </c>
      <c r="L482" s="2">
        <f>Entworpe!D479</f>
        <v>12.5</v>
      </c>
      <c r="M482">
        <f t="shared" si="9"/>
        <v>79</v>
      </c>
    </row>
    <row r="483" spans="1:13" x14ac:dyDescent="0.2">
      <c r="A483">
        <v>479</v>
      </c>
      <c r="B483">
        <f>Calopeia!D115</f>
        <v>43</v>
      </c>
      <c r="C483">
        <f>Sorange!B480</f>
        <v>0</v>
      </c>
      <c r="D483">
        <f>Tyran!B480</f>
        <v>0</v>
      </c>
      <c r="E483">
        <f>Fardo!B480</f>
        <v>0</v>
      </c>
      <c r="F483" s="2">
        <f>Entworpe!B480</f>
        <v>0</v>
      </c>
      <c r="G483">
        <v>1209</v>
      </c>
      <c r="H483" s="2">
        <f>Calopeia!H115</f>
        <v>46.092250657496905</v>
      </c>
      <c r="I483" s="2">
        <f>Sorange!E480</f>
        <v>87.110367892976583</v>
      </c>
      <c r="J483" s="2">
        <f>Tyran!D480</f>
        <v>19.409836065573771</v>
      </c>
      <c r="K483" s="2">
        <f>Fardo!D480</f>
        <v>15.704918032786885</v>
      </c>
      <c r="L483" s="2">
        <f>Entworpe!D480</f>
        <v>12.5</v>
      </c>
      <c r="M483">
        <f t="shared" si="9"/>
        <v>43</v>
      </c>
    </row>
    <row r="484" spans="1:13" x14ac:dyDescent="0.2">
      <c r="A484">
        <v>480</v>
      </c>
      <c r="B484">
        <f>Calopeia!D116</f>
        <v>47</v>
      </c>
      <c r="C484">
        <f>Sorange!B481</f>
        <v>0</v>
      </c>
      <c r="D484">
        <f>Tyran!B481</f>
        <v>0</v>
      </c>
      <c r="E484">
        <f>Fardo!B481</f>
        <v>0</v>
      </c>
      <c r="F484" s="2">
        <f>Entworpe!B481</f>
        <v>0</v>
      </c>
      <c r="G484">
        <v>1210</v>
      </c>
      <c r="H484" s="2">
        <f>Calopeia!H116</f>
        <v>46.092250657496905</v>
      </c>
      <c r="I484" s="2">
        <f>Sorange!E481</f>
        <v>87.263019589106534</v>
      </c>
      <c r="J484" s="2">
        <f>Tyran!D481</f>
        <v>19.409836065573771</v>
      </c>
      <c r="K484" s="2">
        <f>Fardo!D481</f>
        <v>15.704918032786885</v>
      </c>
      <c r="L484" s="2">
        <f>Entworpe!D481</f>
        <v>12.5</v>
      </c>
      <c r="M484">
        <f t="shared" si="9"/>
        <v>47</v>
      </c>
    </row>
    <row r="485" spans="1:13" x14ac:dyDescent="0.2">
      <c r="A485">
        <v>481</v>
      </c>
      <c r="B485">
        <f>Calopeia!D117</f>
        <v>57</v>
      </c>
      <c r="C485">
        <f>Sorange!B482</f>
        <v>0</v>
      </c>
      <c r="D485">
        <f>Tyran!B482</f>
        <v>0</v>
      </c>
      <c r="E485">
        <f>Fardo!B482</f>
        <v>0</v>
      </c>
      <c r="F485" s="2">
        <f>Entworpe!B482</f>
        <v>0</v>
      </c>
      <c r="G485">
        <v>1211</v>
      </c>
      <c r="H485" s="2">
        <f>Calopeia!H117</f>
        <v>46.092250657496905</v>
      </c>
      <c r="I485" s="2">
        <f>Sorange!E482</f>
        <v>87.415671285236499</v>
      </c>
      <c r="J485" s="2">
        <f>Tyran!D482</f>
        <v>19.409836065573771</v>
      </c>
      <c r="K485" s="2">
        <f>Fardo!D482</f>
        <v>15.704918032786885</v>
      </c>
      <c r="L485" s="2">
        <f>Entworpe!D482</f>
        <v>12.5</v>
      </c>
      <c r="M485">
        <f t="shared" si="9"/>
        <v>57</v>
      </c>
    </row>
    <row r="486" spans="1:13" x14ac:dyDescent="0.2">
      <c r="A486">
        <v>482</v>
      </c>
      <c r="B486">
        <f>Calopeia!D118</f>
        <v>37</v>
      </c>
      <c r="C486">
        <f>Sorange!B483</f>
        <v>0</v>
      </c>
      <c r="D486">
        <f>Tyran!B483</f>
        <v>0</v>
      </c>
      <c r="E486">
        <f>Fardo!B483</f>
        <v>0</v>
      </c>
      <c r="F486" s="2">
        <f>Entworpe!B483</f>
        <v>0</v>
      </c>
      <c r="G486">
        <v>1212</v>
      </c>
      <c r="H486" s="2">
        <f>Calopeia!H118</f>
        <v>46.092250657496905</v>
      </c>
      <c r="I486" s="2">
        <f>Sorange!E483</f>
        <v>87.56832298136645</v>
      </c>
      <c r="J486" s="2">
        <f>Tyran!D483</f>
        <v>19.409836065573771</v>
      </c>
      <c r="K486" s="2">
        <f>Fardo!D483</f>
        <v>15.704918032786885</v>
      </c>
      <c r="L486" s="2">
        <f>Entworpe!D483</f>
        <v>12.5</v>
      </c>
      <c r="M486">
        <f t="shared" si="9"/>
        <v>37</v>
      </c>
    </row>
    <row r="487" spans="1:13" x14ac:dyDescent="0.2">
      <c r="A487">
        <v>483</v>
      </c>
      <c r="B487">
        <f>Calopeia!D119</f>
        <v>30</v>
      </c>
      <c r="C487">
        <f>Sorange!B484</f>
        <v>0</v>
      </c>
      <c r="D487">
        <f>Tyran!B484</f>
        <v>0</v>
      </c>
      <c r="E487">
        <f>Fardo!B484</f>
        <v>0</v>
      </c>
      <c r="F487" s="2">
        <f>Entworpe!B484</f>
        <v>0</v>
      </c>
      <c r="G487">
        <v>1213</v>
      </c>
      <c r="H487" s="2">
        <f>Calopeia!H119</f>
        <v>46.092250657496905</v>
      </c>
      <c r="I487" s="2">
        <f>Sorange!E484</f>
        <v>87.720974677496415</v>
      </c>
      <c r="J487" s="2">
        <f>Tyran!D484</f>
        <v>19.409836065573771</v>
      </c>
      <c r="K487" s="2">
        <f>Fardo!D484</f>
        <v>15.704918032786885</v>
      </c>
      <c r="L487" s="2">
        <f>Entworpe!D484</f>
        <v>12.5</v>
      </c>
      <c r="M487">
        <f t="shared" si="9"/>
        <v>30</v>
      </c>
    </row>
    <row r="488" spans="1:13" x14ac:dyDescent="0.2">
      <c r="A488">
        <v>484</v>
      </c>
      <c r="B488">
        <f>Calopeia!D120</f>
        <v>38</v>
      </c>
      <c r="C488">
        <f>Sorange!B485</f>
        <v>0</v>
      </c>
      <c r="D488">
        <f>Tyran!B485</f>
        <v>0</v>
      </c>
      <c r="E488">
        <f>Fardo!B485</f>
        <v>0</v>
      </c>
      <c r="F488" s="2">
        <f>Entworpe!B485</f>
        <v>0</v>
      </c>
      <c r="G488">
        <v>1214</v>
      </c>
      <c r="H488" s="2">
        <f>Calopeia!H120</f>
        <v>46.092250657496905</v>
      </c>
      <c r="I488" s="2">
        <f>Sorange!E485</f>
        <v>87.873626373626365</v>
      </c>
      <c r="J488" s="2">
        <f>Tyran!D485</f>
        <v>19.409836065573771</v>
      </c>
      <c r="K488" s="2">
        <f>Fardo!D485</f>
        <v>15.704918032786885</v>
      </c>
      <c r="L488" s="2">
        <f>Entworpe!D485</f>
        <v>12.5</v>
      </c>
      <c r="M488">
        <f t="shared" si="9"/>
        <v>38</v>
      </c>
    </row>
    <row r="489" spans="1:13" x14ac:dyDescent="0.2">
      <c r="A489">
        <v>485</v>
      </c>
      <c r="B489">
        <f>Calopeia!D121</f>
        <v>79</v>
      </c>
      <c r="C489">
        <f>Sorange!B486</f>
        <v>0</v>
      </c>
      <c r="D489">
        <f>Tyran!B486</f>
        <v>0</v>
      </c>
      <c r="E489">
        <f>Fardo!B486</f>
        <v>0</v>
      </c>
      <c r="F489" s="2">
        <f>Entworpe!B486</f>
        <v>0</v>
      </c>
      <c r="G489">
        <v>1215</v>
      </c>
      <c r="H489" s="2">
        <f>Calopeia!H121</f>
        <v>46.092250657496905</v>
      </c>
      <c r="I489" s="2">
        <f>Sorange!E486</f>
        <v>88.026278069756316</v>
      </c>
      <c r="J489" s="2">
        <f>Tyran!D486</f>
        <v>19.409836065573771</v>
      </c>
      <c r="K489" s="2">
        <f>Fardo!D486</f>
        <v>15.704918032786885</v>
      </c>
      <c r="L489" s="2">
        <f>Entworpe!D486</f>
        <v>12.5</v>
      </c>
      <c r="M489">
        <f t="shared" si="9"/>
        <v>79</v>
      </c>
    </row>
    <row r="490" spans="1:13" x14ac:dyDescent="0.2">
      <c r="A490">
        <v>486</v>
      </c>
      <c r="B490">
        <f>Calopeia!D122</f>
        <v>46</v>
      </c>
      <c r="C490">
        <f>Sorange!B487</f>
        <v>0</v>
      </c>
      <c r="D490">
        <f>Tyran!B487</f>
        <v>0</v>
      </c>
      <c r="E490">
        <f>Fardo!B487</f>
        <v>0</v>
      </c>
      <c r="F490" s="2">
        <f>Entworpe!B487</f>
        <v>0</v>
      </c>
      <c r="G490">
        <v>1216</v>
      </c>
      <c r="H490" s="2">
        <f>Calopeia!H122</f>
        <v>46.092250657496905</v>
      </c>
      <c r="I490" s="2">
        <f>Sorange!E487</f>
        <v>88.178929765886281</v>
      </c>
      <c r="J490" s="2">
        <f>Tyran!D487</f>
        <v>19.409836065573771</v>
      </c>
      <c r="K490" s="2">
        <f>Fardo!D487</f>
        <v>15.704918032786885</v>
      </c>
      <c r="L490" s="2">
        <f>Entworpe!D487</f>
        <v>12.5</v>
      </c>
      <c r="M490">
        <f t="shared" si="9"/>
        <v>46</v>
      </c>
    </row>
    <row r="491" spans="1:13" x14ac:dyDescent="0.2">
      <c r="A491">
        <v>487</v>
      </c>
      <c r="B491">
        <f>Calopeia!D123</f>
        <v>42</v>
      </c>
      <c r="C491">
        <f>Sorange!B488</f>
        <v>0</v>
      </c>
      <c r="D491">
        <f>Tyran!B488</f>
        <v>0</v>
      </c>
      <c r="E491">
        <f>Fardo!B488</f>
        <v>0</v>
      </c>
      <c r="F491" s="2">
        <f>Entworpe!B488</f>
        <v>0</v>
      </c>
      <c r="G491">
        <v>1217</v>
      </c>
      <c r="H491" s="2">
        <f>Calopeia!H123</f>
        <v>46.092250657496905</v>
      </c>
      <c r="I491" s="2">
        <f>Sorange!E488</f>
        <v>88.331581462016231</v>
      </c>
      <c r="J491" s="2">
        <f>Tyran!D488</f>
        <v>19.409836065573771</v>
      </c>
      <c r="K491" s="2">
        <f>Fardo!D488</f>
        <v>15.704918032786885</v>
      </c>
      <c r="L491" s="2">
        <f>Entworpe!D488</f>
        <v>12.5</v>
      </c>
      <c r="M491">
        <f t="shared" si="9"/>
        <v>42</v>
      </c>
    </row>
    <row r="492" spans="1:13" x14ac:dyDescent="0.2">
      <c r="A492">
        <v>488</v>
      </c>
      <c r="B492">
        <f>Calopeia!D124</f>
        <v>43</v>
      </c>
      <c r="C492">
        <f>Sorange!B489</f>
        <v>0</v>
      </c>
      <c r="D492">
        <f>Tyran!B489</f>
        <v>0</v>
      </c>
      <c r="E492">
        <f>Fardo!B489</f>
        <v>0</v>
      </c>
      <c r="F492" s="2">
        <f>Entworpe!B489</f>
        <v>0</v>
      </c>
      <c r="G492">
        <v>1218</v>
      </c>
      <c r="H492" s="2">
        <f>Calopeia!H124</f>
        <v>46.092250657496905</v>
      </c>
      <c r="I492" s="2">
        <f>Sorange!E489</f>
        <v>88.484233158146196</v>
      </c>
      <c r="J492" s="2">
        <f>Tyran!D489</f>
        <v>19.409836065573771</v>
      </c>
      <c r="K492" s="2">
        <f>Fardo!D489</f>
        <v>15.704918032786885</v>
      </c>
      <c r="L492" s="2">
        <f>Entworpe!D489</f>
        <v>12.5</v>
      </c>
      <c r="M492">
        <f t="shared" si="9"/>
        <v>43</v>
      </c>
    </row>
    <row r="493" spans="1:13" x14ac:dyDescent="0.2">
      <c r="A493">
        <v>489</v>
      </c>
      <c r="B493">
        <f>Calopeia!D125</f>
        <v>58</v>
      </c>
      <c r="C493">
        <f>Sorange!B490</f>
        <v>0</v>
      </c>
      <c r="D493">
        <f>Tyran!B490</f>
        <v>0</v>
      </c>
      <c r="E493">
        <f>Fardo!B490</f>
        <v>0</v>
      </c>
      <c r="F493" s="2">
        <f>Entworpe!B490</f>
        <v>0</v>
      </c>
      <c r="G493">
        <v>1219</v>
      </c>
      <c r="H493" s="2">
        <f>Calopeia!H125</f>
        <v>46.092250657496905</v>
      </c>
      <c r="I493" s="2">
        <f>Sorange!E490</f>
        <v>88.636884854276147</v>
      </c>
      <c r="J493" s="2">
        <f>Tyran!D490</f>
        <v>19.409836065573771</v>
      </c>
      <c r="K493" s="2">
        <f>Fardo!D490</f>
        <v>15.704918032786885</v>
      </c>
      <c r="L493" s="2">
        <f>Entworpe!D490</f>
        <v>12.5</v>
      </c>
      <c r="M493">
        <f t="shared" si="9"/>
        <v>58</v>
      </c>
    </row>
    <row r="494" spans="1:13" x14ac:dyDescent="0.2">
      <c r="A494">
        <v>490</v>
      </c>
      <c r="B494">
        <f>Calopeia!D126</f>
        <v>49</v>
      </c>
      <c r="C494">
        <f>Sorange!B491</f>
        <v>0</v>
      </c>
      <c r="D494">
        <f>Tyran!B491</f>
        <v>0</v>
      </c>
      <c r="E494">
        <f>Fardo!B491</f>
        <v>0</v>
      </c>
      <c r="F494" s="2">
        <f>Entworpe!B491</f>
        <v>0</v>
      </c>
      <c r="G494">
        <v>1220</v>
      </c>
      <c r="H494" s="2">
        <f>Calopeia!H126</f>
        <v>46.092250657496905</v>
      </c>
      <c r="I494" s="2">
        <f>Sorange!E491</f>
        <v>88.789536550406112</v>
      </c>
      <c r="J494" s="2">
        <f>Tyran!D491</f>
        <v>19.409836065573771</v>
      </c>
      <c r="K494" s="2">
        <f>Fardo!D491</f>
        <v>15.704918032786885</v>
      </c>
      <c r="L494" s="2">
        <f>Entworpe!D491</f>
        <v>12.5</v>
      </c>
      <c r="M494">
        <f t="shared" si="9"/>
        <v>49</v>
      </c>
    </row>
    <row r="495" spans="1:13" x14ac:dyDescent="0.2">
      <c r="A495">
        <v>491</v>
      </c>
      <c r="B495">
        <f>Calopeia!D127</f>
        <v>42</v>
      </c>
      <c r="C495">
        <f>Sorange!B492</f>
        <v>0</v>
      </c>
      <c r="D495">
        <f>Tyran!B492</f>
        <v>0</v>
      </c>
      <c r="E495">
        <f>Fardo!B492</f>
        <v>0</v>
      </c>
      <c r="F495" s="2">
        <f>Entworpe!B492</f>
        <v>0</v>
      </c>
      <c r="G495">
        <v>1221</v>
      </c>
      <c r="H495" s="2">
        <f>Calopeia!H127</f>
        <v>46.092250657496905</v>
      </c>
      <c r="I495" s="2">
        <f>Sorange!E492</f>
        <v>88.942188246536062</v>
      </c>
      <c r="J495" s="2">
        <f>Tyran!D492</f>
        <v>19.409836065573771</v>
      </c>
      <c r="K495" s="2">
        <f>Fardo!D492</f>
        <v>15.704918032786885</v>
      </c>
      <c r="L495" s="2">
        <f>Entworpe!D492</f>
        <v>12.5</v>
      </c>
      <c r="M495">
        <f t="shared" si="9"/>
        <v>42</v>
      </c>
    </row>
    <row r="496" spans="1:13" x14ac:dyDescent="0.2">
      <c r="A496">
        <v>492</v>
      </c>
      <c r="B496">
        <f>Calopeia!D128</f>
        <v>59</v>
      </c>
      <c r="C496">
        <f>Sorange!B493</f>
        <v>0</v>
      </c>
      <c r="D496">
        <f>Tyran!B493</f>
        <v>0</v>
      </c>
      <c r="E496">
        <f>Fardo!B493</f>
        <v>0</v>
      </c>
      <c r="F496" s="2">
        <f>Entworpe!B493</f>
        <v>0</v>
      </c>
      <c r="G496">
        <v>1222</v>
      </c>
      <c r="H496" s="2">
        <f>Calopeia!H128</f>
        <v>46.092250657496905</v>
      </c>
      <c r="I496" s="2">
        <f>Sorange!E493</f>
        <v>89.094839942666027</v>
      </c>
      <c r="J496" s="2">
        <f>Tyran!D493</f>
        <v>19.409836065573771</v>
      </c>
      <c r="K496" s="2">
        <f>Fardo!D493</f>
        <v>15.704918032786885</v>
      </c>
      <c r="L496" s="2">
        <f>Entworpe!D493</f>
        <v>12.5</v>
      </c>
      <c r="M496">
        <f t="shared" si="9"/>
        <v>59</v>
      </c>
    </row>
    <row r="497" spans="1:13" x14ac:dyDescent="0.2">
      <c r="A497">
        <v>493</v>
      </c>
      <c r="B497">
        <f>Calopeia!D129</f>
        <v>72</v>
      </c>
      <c r="C497">
        <f>Sorange!B494</f>
        <v>0</v>
      </c>
      <c r="D497">
        <f>Tyran!B494</f>
        <v>0</v>
      </c>
      <c r="E497">
        <f>Fardo!B494</f>
        <v>0</v>
      </c>
      <c r="F497" s="2">
        <f>Entworpe!B494</f>
        <v>0</v>
      </c>
      <c r="G497">
        <v>1223</v>
      </c>
      <c r="H497" s="2">
        <f>Calopeia!H129</f>
        <v>46.092250657496905</v>
      </c>
      <c r="I497" s="2">
        <f>Sorange!E494</f>
        <v>89.247491638795978</v>
      </c>
      <c r="J497" s="2">
        <f>Tyran!D494</f>
        <v>19.409836065573771</v>
      </c>
      <c r="K497" s="2">
        <f>Fardo!D494</f>
        <v>15.704918032786885</v>
      </c>
      <c r="L497" s="2">
        <f>Entworpe!D494</f>
        <v>12.5</v>
      </c>
      <c r="M497">
        <f t="shared" si="9"/>
        <v>72</v>
      </c>
    </row>
    <row r="498" spans="1:13" x14ac:dyDescent="0.2">
      <c r="A498">
        <v>494</v>
      </c>
      <c r="B498">
        <f>Calopeia!D130</f>
        <v>48</v>
      </c>
      <c r="C498">
        <f>Sorange!B495</f>
        <v>0</v>
      </c>
      <c r="D498">
        <f>Tyran!B495</f>
        <v>0</v>
      </c>
      <c r="E498">
        <f>Fardo!B495</f>
        <v>0</v>
      </c>
      <c r="F498" s="2">
        <f>Entworpe!B495</f>
        <v>0</v>
      </c>
      <c r="G498">
        <v>1224</v>
      </c>
      <c r="H498" s="2">
        <f>Calopeia!H130</f>
        <v>46.092250657496905</v>
      </c>
      <c r="I498" s="2">
        <f>Sorange!E495</f>
        <v>89.400143334925943</v>
      </c>
      <c r="J498" s="2">
        <f>Tyran!D495</f>
        <v>19.409836065573771</v>
      </c>
      <c r="K498" s="2">
        <f>Fardo!D495</f>
        <v>15.704918032786885</v>
      </c>
      <c r="L498" s="2">
        <f>Entworpe!D495</f>
        <v>12.5</v>
      </c>
      <c r="M498">
        <f t="shared" si="9"/>
        <v>48</v>
      </c>
    </row>
    <row r="499" spans="1:13" x14ac:dyDescent="0.2">
      <c r="A499">
        <v>495</v>
      </c>
      <c r="B499">
        <f>Calopeia!D131</f>
        <v>55</v>
      </c>
      <c r="C499">
        <f>Sorange!B496</f>
        <v>0</v>
      </c>
      <c r="D499">
        <f>Tyran!B496</f>
        <v>0</v>
      </c>
      <c r="E499">
        <f>Fardo!B496</f>
        <v>0</v>
      </c>
      <c r="F499" s="2">
        <f>Entworpe!B496</f>
        <v>0</v>
      </c>
      <c r="G499">
        <v>1225</v>
      </c>
      <c r="H499" s="2">
        <f>Calopeia!H131</f>
        <v>46.092250657496905</v>
      </c>
      <c r="I499" s="2">
        <f>Sorange!E496</f>
        <v>89.552795031055894</v>
      </c>
      <c r="J499" s="2">
        <f>Tyran!D496</f>
        <v>19.409836065573771</v>
      </c>
      <c r="K499" s="2">
        <f>Fardo!D496</f>
        <v>15.704918032786885</v>
      </c>
      <c r="L499" s="2">
        <f>Entworpe!D496</f>
        <v>12.5</v>
      </c>
      <c r="M499">
        <f t="shared" si="9"/>
        <v>55</v>
      </c>
    </row>
    <row r="500" spans="1:13" x14ac:dyDescent="0.2">
      <c r="A500">
        <v>496</v>
      </c>
      <c r="B500">
        <f>Calopeia!D132</f>
        <v>59</v>
      </c>
      <c r="C500">
        <f>Sorange!B497</f>
        <v>0</v>
      </c>
      <c r="D500">
        <f>Tyran!B497</f>
        <v>0</v>
      </c>
      <c r="E500">
        <f>Fardo!B497</f>
        <v>0</v>
      </c>
      <c r="F500" s="2">
        <f>Entworpe!B497</f>
        <v>0</v>
      </c>
      <c r="G500">
        <v>1226</v>
      </c>
      <c r="H500" s="2">
        <f>Calopeia!H132</f>
        <v>46.092250657496905</v>
      </c>
      <c r="I500" s="2">
        <f>Sorange!E497</f>
        <v>89.705446727185844</v>
      </c>
      <c r="J500" s="2">
        <f>Tyran!D497</f>
        <v>19.409836065573771</v>
      </c>
      <c r="K500" s="2">
        <f>Fardo!D497</f>
        <v>15.704918032786885</v>
      </c>
      <c r="L500" s="2">
        <f>Entworpe!D497</f>
        <v>12.5</v>
      </c>
      <c r="M500">
        <f t="shared" si="9"/>
        <v>59</v>
      </c>
    </row>
    <row r="501" spans="1:13" x14ac:dyDescent="0.2">
      <c r="A501">
        <v>497</v>
      </c>
      <c r="B501">
        <f>Calopeia!D133</f>
        <v>32</v>
      </c>
      <c r="C501">
        <f>Sorange!B498</f>
        <v>0</v>
      </c>
      <c r="D501">
        <f>Tyran!B498</f>
        <v>0</v>
      </c>
      <c r="E501">
        <f>Fardo!B498</f>
        <v>0</v>
      </c>
      <c r="F501" s="2">
        <f>Entworpe!B498</f>
        <v>0</v>
      </c>
      <c r="G501">
        <v>1227</v>
      </c>
      <c r="H501" s="2">
        <f>Calopeia!H133</f>
        <v>46.092250657496905</v>
      </c>
      <c r="I501" s="2">
        <f>Sorange!E498</f>
        <v>89.858098423315809</v>
      </c>
      <c r="J501" s="2">
        <f>Tyran!D498</f>
        <v>19.409836065573771</v>
      </c>
      <c r="K501" s="2">
        <f>Fardo!D498</f>
        <v>15.704918032786885</v>
      </c>
      <c r="L501" s="2">
        <f>Entworpe!D498</f>
        <v>12.5</v>
      </c>
      <c r="M501">
        <f t="shared" si="9"/>
        <v>32</v>
      </c>
    </row>
    <row r="502" spans="1:13" x14ac:dyDescent="0.2">
      <c r="A502">
        <v>498</v>
      </c>
      <c r="B502">
        <f>Calopeia!D134</f>
        <v>32</v>
      </c>
      <c r="C502">
        <f>Sorange!B499</f>
        <v>0</v>
      </c>
      <c r="D502">
        <f>Tyran!B499</f>
        <v>0</v>
      </c>
      <c r="E502">
        <f>Fardo!B499</f>
        <v>0</v>
      </c>
      <c r="F502" s="2">
        <f>Entworpe!B499</f>
        <v>0</v>
      </c>
      <c r="G502">
        <v>1228</v>
      </c>
      <c r="H502" s="2">
        <f>Calopeia!H134</f>
        <v>46.092250657496905</v>
      </c>
      <c r="I502" s="2">
        <f>Sorange!E499</f>
        <v>90.01075011944576</v>
      </c>
      <c r="J502" s="2">
        <f>Tyran!D499</f>
        <v>19.409836065573771</v>
      </c>
      <c r="K502" s="2">
        <f>Fardo!D499</f>
        <v>15.704918032786885</v>
      </c>
      <c r="L502" s="2">
        <f>Entworpe!D499</f>
        <v>12.5</v>
      </c>
      <c r="M502">
        <f t="shared" si="9"/>
        <v>32</v>
      </c>
    </row>
    <row r="503" spans="1:13" x14ac:dyDescent="0.2">
      <c r="A503">
        <v>499</v>
      </c>
      <c r="B503">
        <f>Calopeia!D135</f>
        <v>92</v>
      </c>
      <c r="C503">
        <f>Sorange!B500</f>
        <v>0</v>
      </c>
      <c r="D503">
        <f>Tyran!B500</f>
        <v>0</v>
      </c>
      <c r="E503">
        <f>Fardo!B500</f>
        <v>0</v>
      </c>
      <c r="F503" s="2">
        <f>Entworpe!B500</f>
        <v>0</v>
      </c>
      <c r="G503">
        <v>1229</v>
      </c>
      <c r="H503" s="2">
        <f>Calopeia!H135</f>
        <v>46.092250657496905</v>
      </c>
      <c r="I503" s="2">
        <f>Sorange!E500</f>
        <v>90.163401815575725</v>
      </c>
      <c r="J503" s="2">
        <f>Tyran!D500</f>
        <v>19.409836065573771</v>
      </c>
      <c r="K503" s="2">
        <f>Fardo!D500</f>
        <v>15.704918032786885</v>
      </c>
      <c r="L503" s="2">
        <f>Entworpe!D500</f>
        <v>12.5</v>
      </c>
      <c r="M503">
        <f t="shared" si="9"/>
        <v>92</v>
      </c>
    </row>
    <row r="504" spans="1:13" x14ac:dyDescent="0.2">
      <c r="A504">
        <v>500</v>
      </c>
      <c r="B504">
        <f>Calopeia!D136</f>
        <v>51</v>
      </c>
      <c r="C504">
        <f>Sorange!B501</f>
        <v>0</v>
      </c>
      <c r="D504">
        <f>Tyran!B501</f>
        <v>0</v>
      </c>
      <c r="E504">
        <f>Fardo!B501</f>
        <v>0</v>
      </c>
      <c r="F504" s="2">
        <f>Entworpe!B501</f>
        <v>0</v>
      </c>
      <c r="G504">
        <v>1230</v>
      </c>
      <c r="H504" s="2">
        <f>Calopeia!H136</f>
        <v>46.092250657496905</v>
      </c>
      <c r="I504" s="2">
        <f>Sorange!E501</f>
        <v>90.316053511705675</v>
      </c>
      <c r="J504" s="2">
        <f>Tyran!D501</f>
        <v>19.409836065573771</v>
      </c>
      <c r="K504" s="2">
        <f>Fardo!D501</f>
        <v>15.704918032786885</v>
      </c>
      <c r="L504" s="2">
        <f>Entworpe!D501</f>
        <v>12.5</v>
      </c>
      <c r="M504">
        <f t="shared" si="9"/>
        <v>51</v>
      </c>
    </row>
    <row r="505" spans="1:13" x14ac:dyDescent="0.2">
      <c r="A505">
        <v>501</v>
      </c>
      <c r="B505">
        <f>Calopeia!D137</f>
        <v>39</v>
      </c>
      <c r="C505">
        <f>Sorange!B502</f>
        <v>0</v>
      </c>
      <c r="D505">
        <f>Tyran!B502</f>
        <v>0</v>
      </c>
      <c r="E505">
        <f>Fardo!B502</f>
        <v>0</v>
      </c>
      <c r="F505" s="2">
        <f>Entworpe!B502</f>
        <v>0</v>
      </c>
      <c r="G505">
        <v>1231</v>
      </c>
      <c r="H505" s="2">
        <f>Calopeia!H137</f>
        <v>46.092250657496905</v>
      </c>
      <c r="I505" s="2">
        <f>Sorange!E502</f>
        <v>90.46870520783564</v>
      </c>
      <c r="J505" s="2">
        <f>Tyran!D502</f>
        <v>19.409836065573771</v>
      </c>
      <c r="K505" s="2">
        <f>Fardo!D502</f>
        <v>15.704918032786885</v>
      </c>
      <c r="L505" s="2">
        <f>Entworpe!D502</f>
        <v>12.5</v>
      </c>
      <c r="M505">
        <f t="shared" si="9"/>
        <v>39</v>
      </c>
    </row>
    <row r="506" spans="1:13" x14ac:dyDescent="0.2">
      <c r="A506">
        <v>502</v>
      </c>
      <c r="B506">
        <f>Calopeia!D138</f>
        <v>24</v>
      </c>
      <c r="C506">
        <f>Sorange!B503</f>
        <v>0</v>
      </c>
      <c r="D506">
        <f>Tyran!B503</f>
        <v>0</v>
      </c>
      <c r="E506">
        <f>Fardo!B503</f>
        <v>0</v>
      </c>
      <c r="F506" s="2">
        <f>Entworpe!B503</f>
        <v>0</v>
      </c>
      <c r="G506">
        <v>1232</v>
      </c>
      <c r="H506" s="2">
        <f>Calopeia!H138</f>
        <v>46.092250657496905</v>
      </c>
      <c r="I506" s="2">
        <f>Sorange!E503</f>
        <v>90.621356903965591</v>
      </c>
      <c r="J506" s="2">
        <f>Tyran!D503</f>
        <v>19.409836065573771</v>
      </c>
      <c r="K506" s="2">
        <f>Fardo!D503</f>
        <v>15.704918032786885</v>
      </c>
      <c r="L506" s="2">
        <f>Entworpe!D503</f>
        <v>12.5</v>
      </c>
      <c r="M506">
        <f t="shared" si="9"/>
        <v>24</v>
      </c>
    </row>
    <row r="507" spans="1:13" x14ac:dyDescent="0.2">
      <c r="A507">
        <v>503</v>
      </c>
      <c r="B507">
        <f>Calopeia!D139</f>
        <v>71</v>
      </c>
      <c r="C507">
        <f>Sorange!B504</f>
        <v>0</v>
      </c>
      <c r="D507">
        <f>Tyran!B504</f>
        <v>0</v>
      </c>
      <c r="E507">
        <f>Fardo!B504</f>
        <v>0</v>
      </c>
      <c r="F507" s="2">
        <f>Entworpe!B504</f>
        <v>0</v>
      </c>
      <c r="G507">
        <v>1233</v>
      </c>
      <c r="H507" s="2">
        <f>Calopeia!H139</f>
        <v>46.092250657496905</v>
      </c>
      <c r="I507" s="2">
        <f>Sorange!E504</f>
        <v>90.774008600095556</v>
      </c>
      <c r="J507" s="2">
        <f>Tyran!D504</f>
        <v>19.409836065573771</v>
      </c>
      <c r="K507" s="2">
        <f>Fardo!D504</f>
        <v>15.704918032786885</v>
      </c>
      <c r="L507" s="2">
        <f>Entworpe!D504</f>
        <v>12.5</v>
      </c>
      <c r="M507">
        <f t="shared" si="9"/>
        <v>71</v>
      </c>
    </row>
    <row r="508" spans="1:13" x14ac:dyDescent="0.2">
      <c r="A508">
        <v>504</v>
      </c>
      <c r="B508">
        <f>Calopeia!D140</f>
        <v>88</v>
      </c>
      <c r="C508">
        <f>Sorange!B505</f>
        <v>0</v>
      </c>
      <c r="D508">
        <f>Tyran!B505</f>
        <v>0</v>
      </c>
      <c r="E508">
        <f>Fardo!B505</f>
        <v>0</v>
      </c>
      <c r="F508" s="2">
        <f>Entworpe!B505</f>
        <v>0</v>
      </c>
      <c r="G508">
        <v>1234</v>
      </c>
      <c r="H508" s="2">
        <f>Calopeia!H140</f>
        <v>46.092250657496905</v>
      </c>
      <c r="I508" s="2">
        <f>Sorange!E505</f>
        <v>90.926660296225506</v>
      </c>
      <c r="J508" s="2">
        <f>Tyran!D505</f>
        <v>19.409836065573771</v>
      </c>
      <c r="K508" s="2">
        <f>Fardo!D505</f>
        <v>15.704918032786885</v>
      </c>
      <c r="L508" s="2">
        <f>Entworpe!D505</f>
        <v>12.5</v>
      </c>
      <c r="M508">
        <f t="shared" si="9"/>
        <v>88</v>
      </c>
    </row>
    <row r="509" spans="1:13" x14ac:dyDescent="0.2">
      <c r="A509">
        <v>505</v>
      </c>
      <c r="B509">
        <f>Calopeia!D141</f>
        <v>38</v>
      </c>
      <c r="C509">
        <f>Sorange!B506</f>
        <v>0</v>
      </c>
      <c r="D509">
        <f>Tyran!B506</f>
        <v>0</v>
      </c>
      <c r="E509">
        <f>Fardo!B506</f>
        <v>0</v>
      </c>
      <c r="F509" s="2">
        <f>Entworpe!B506</f>
        <v>0</v>
      </c>
      <c r="G509">
        <v>1235</v>
      </c>
      <c r="H509" s="2">
        <f>Calopeia!H141</f>
        <v>46.092250657496905</v>
      </c>
      <c r="I509" s="2">
        <f>Sorange!E506</f>
        <v>91.079311992355457</v>
      </c>
      <c r="J509" s="2">
        <f>Tyran!D506</f>
        <v>19.409836065573771</v>
      </c>
      <c r="K509" s="2">
        <f>Fardo!D506</f>
        <v>15.704918032786885</v>
      </c>
      <c r="L509" s="2">
        <f>Entworpe!D506</f>
        <v>12.5</v>
      </c>
      <c r="M509">
        <f t="shared" si="9"/>
        <v>38</v>
      </c>
    </row>
    <row r="510" spans="1:13" x14ac:dyDescent="0.2">
      <c r="A510">
        <v>506</v>
      </c>
      <c r="B510">
        <f>Calopeia!D142</f>
        <v>59</v>
      </c>
      <c r="C510">
        <f>Sorange!B507</f>
        <v>0</v>
      </c>
      <c r="D510">
        <f>Tyran!B507</f>
        <v>0</v>
      </c>
      <c r="E510">
        <f>Fardo!B507</f>
        <v>0</v>
      </c>
      <c r="F510" s="2">
        <f>Entworpe!B507</f>
        <v>0</v>
      </c>
      <c r="G510">
        <v>1236</v>
      </c>
      <c r="H510" s="2">
        <f>Calopeia!H142</f>
        <v>46.092250657496905</v>
      </c>
      <c r="I510" s="2">
        <f>Sorange!E507</f>
        <v>91.231963688485422</v>
      </c>
      <c r="J510" s="2">
        <f>Tyran!D507</f>
        <v>19.409836065573771</v>
      </c>
      <c r="K510" s="2">
        <f>Fardo!D507</f>
        <v>15.704918032786885</v>
      </c>
      <c r="L510" s="2">
        <f>Entworpe!D507</f>
        <v>12.5</v>
      </c>
      <c r="M510">
        <f t="shared" si="9"/>
        <v>59</v>
      </c>
    </row>
    <row r="511" spans="1:13" x14ac:dyDescent="0.2">
      <c r="A511">
        <v>507</v>
      </c>
      <c r="B511">
        <f>Calopeia!D143</f>
        <v>55</v>
      </c>
      <c r="C511">
        <f>Sorange!B508</f>
        <v>0</v>
      </c>
      <c r="D511">
        <f>Tyran!B508</f>
        <v>0</v>
      </c>
      <c r="E511">
        <f>Fardo!B508</f>
        <v>0</v>
      </c>
      <c r="F511" s="2">
        <f>Entworpe!B508</f>
        <v>0</v>
      </c>
      <c r="G511">
        <v>1237</v>
      </c>
      <c r="H511" s="2">
        <f>Calopeia!H143</f>
        <v>46.092250657496905</v>
      </c>
      <c r="I511" s="2">
        <f>Sorange!E508</f>
        <v>91.384615384615373</v>
      </c>
      <c r="J511" s="2">
        <f>Tyran!D508</f>
        <v>19.409836065573771</v>
      </c>
      <c r="K511" s="2">
        <f>Fardo!D508</f>
        <v>15.704918032786885</v>
      </c>
      <c r="L511" s="2">
        <f>Entworpe!D508</f>
        <v>12.5</v>
      </c>
      <c r="M511">
        <f t="shared" si="9"/>
        <v>55</v>
      </c>
    </row>
    <row r="512" spans="1:13" x14ac:dyDescent="0.2">
      <c r="A512">
        <v>508</v>
      </c>
      <c r="B512">
        <f>Calopeia!D144</f>
        <v>55</v>
      </c>
      <c r="C512">
        <f>Sorange!B509</f>
        <v>0</v>
      </c>
      <c r="D512">
        <f>Tyran!B509</f>
        <v>0</v>
      </c>
      <c r="E512">
        <f>Fardo!B509</f>
        <v>0</v>
      </c>
      <c r="F512" s="2">
        <f>Entworpe!B509</f>
        <v>0</v>
      </c>
      <c r="G512">
        <v>1238</v>
      </c>
      <c r="H512" s="2">
        <f>Calopeia!H144</f>
        <v>46.092250657496905</v>
      </c>
      <c r="I512" s="2">
        <f>Sorange!E509</f>
        <v>91.537267080745337</v>
      </c>
      <c r="J512" s="2">
        <f>Tyran!D509</f>
        <v>19.409836065573771</v>
      </c>
      <c r="K512" s="2">
        <f>Fardo!D509</f>
        <v>15.704918032786885</v>
      </c>
      <c r="L512" s="2">
        <f>Entworpe!D509</f>
        <v>12.5</v>
      </c>
      <c r="M512">
        <f t="shared" si="9"/>
        <v>55</v>
      </c>
    </row>
    <row r="513" spans="1:13" x14ac:dyDescent="0.2">
      <c r="A513">
        <v>509</v>
      </c>
      <c r="B513">
        <f>Calopeia!D145</f>
        <v>75</v>
      </c>
      <c r="C513">
        <f>Sorange!B510</f>
        <v>0</v>
      </c>
      <c r="D513">
        <f>Tyran!B510</f>
        <v>0</v>
      </c>
      <c r="E513">
        <f>Fardo!B510</f>
        <v>0</v>
      </c>
      <c r="F513" s="2">
        <f>Entworpe!B510</f>
        <v>0</v>
      </c>
      <c r="G513">
        <v>1239</v>
      </c>
      <c r="H513" s="2">
        <f>Calopeia!H145</f>
        <v>46.092250657496905</v>
      </c>
      <c r="I513" s="2">
        <f>Sorange!E510</f>
        <v>91.689918776875288</v>
      </c>
      <c r="J513" s="2">
        <f>Tyran!D510</f>
        <v>19.409836065573771</v>
      </c>
      <c r="K513" s="2">
        <f>Fardo!D510</f>
        <v>15.704918032786885</v>
      </c>
      <c r="L513" s="2">
        <f>Entworpe!D510</f>
        <v>12.5</v>
      </c>
      <c r="M513">
        <f t="shared" si="9"/>
        <v>75</v>
      </c>
    </row>
    <row r="514" spans="1:13" x14ac:dyDescent="0.2">
      <c r="A514">
        <v>510</v>
      </c>
      <c r="B514">
        <f>Calopeia!D146</f>
        <v>28</v>
      </c>
      <c r="C514">
        <f>Sorange!B511</f>
        <v>0</v>
      </c>
      <c r="D514">
        <f>Tyran!B511</f>
        <v>0</v>
      </c>
      <c r="E514">
        <f>Fardo!B511</f>
        <v>0</v>
      </c>
      <c r="F514" s="2">
        <f>Entworpe!B511</f>
        <v>0</v>
      </c>
      <c r="G514">
        <v>1240</v>
      </c>
      <c r="H514" s="2">
        <f>Calopeia!H146</f>
        <v>46.092250657496905</v>
      </c>
      <c r="I514" s="2">
        <f>Sorange!E511</f>
        <v>91.842570473005253</v>
      </c>
      <c r="J514" s="2">
        <f>Tyran!D511</f>
        <v>19.409836065573771</v>
      </c>
      <c r="K514" s="2">
        <f>Fardo!D511</f>
        <v>15.704918032786885</v>
      </c>
      <c r="L514" s="2">
        <f>Entworpe!D511</f>
        <v>12.5</v>
      </c>
      <c r="M514">
        <f t="shared" si="9"/>
        <v>28</v>
      </c>
    </row>
    <row r="515" spans="1:13" x14ac:dyDescent="0.2">
      <c r="A515">
        <v>511</v>
      </c>
      <c r="B515">
        <f>Calopeia!D147</f>
        <v>90</v>
      </c>
      <c r="C515">
        <f>Sorange!B512</f>
        <v>0</v>
      </c>
      <c r="D515">
        <f>Tyran!B512</f>
        <v>0</v>
      </c>
      <c r="E515">
        <f>Fardo!B512</f>
        <v>0</v>
      </c>
      <c r="F515" s="2">
        <f>Entworpe!B512</f>
        <v>0</v>
      </c>
      <c r="G515">
        <v>1241</v>
      </c>
      <c r="H515" s="2">
        <f>Calopeia!H147</f>
        <v>46.092250657496905</v>
      </c>
      <c r="I515" s="2">
        <f>Sorange!E512</f>
        <v>91.995222169135204</v>
      </c>
      <c r="J515" s="2">
        <f>Tyran!D512</f>
        <v>19.409836065573771</v>
      </c>
      <c r="K515" s="2">
        <f>Fardo!D512</f>
        <v>15.704918032786885</v>
      </c>
      <c r="L515" s="2">
        <f>Entworpe!D512</f>
        <v>12.5</v>
      </c>
      <c r="M515">
        <f t="shared" si="9"/>
        <v>90</v>
      </c>
    </row>
    <row r="516" spans="1:13" x14ac:dyDescent="0.2">
      <c r="A516">
        <v>512</v>
      </c>
      <c r="B516">
        <f>Calopeia!D148</f>
        <v>27</v>
      </c>
      <c r="C516">
        <f>Sorange!B513</f>
        <v>0</v>
      </c>
      <c r="D516">
        <f>Tyran!B513</f>
        <v>0</v>
      </c>
      <c r="E516">
        <f>Fardo!B513</f>
        <v>0</v>
      </c>
      <c r="F516" s="2">
        <f>Entworpe!B513</f>
        <v>0</v>
      </c>
      <c r="G516">
        <v>1242</v>
      </c>
      <c r="H516" s="2">
        <f>Calopeia!H148</f>
        <v>67.906594503598825</v>
      </c>
      <c r="I516" s="2">
        <f>Sorange!E513</f>
        <v>92.147873865265169</v>
      </c>
      <c r="J516" s="2">
        <f>Tyran!D513</f>
        <v>19.409836065573771</v>
      </c>
      <c r="K516" s="2">
        <f>Fardo!D513</f>
        <v>15.704918032786885</v>
      </c>
      <c r="L516" s="2">
        <f>Entworpe!D513</f>
        <v>12.5</v>
      </c>
      <c r="M516">
        <f t="shared" si="9"/>
        <v>27</v>
      </c>
    </row>
    <row r="517" spans="1:13" x14ac:dyDescent="0.2">
      <c r="A517">
        <v>513</v>
      </c>
      <c r="B517">
        <f>Calopeia!D149</f>
        <v>32</v>
      </c>
      <c r="C517">
        <f>Sorange!B514</f>
        <v>0</v>
      </c>
      <c r="D517">
        <f>Tyran!B514</f>
        <v>0</v>
      </c>
      <c r="E517">
        <f>Fardo!B514</f>
        <v>0</v>
      </c>
      <c r="F517" s="2">
        <f>Entworpe!B514</f>
        <v>0</v>
      </c>
      <c r="G517">
        <v>1243</v>
      </c>
      <c r="H517" s="2">
        <f>Calopeia!H149</f>
        <v>67.906594503598825</v>
      </c>
      <c r="I517" s="2">
        <f>Sorange!E514</f>
        <v>92.300525561395119</v>
      </c>
      <c r="J517" s="2">
        <f>Tyran!D514</f>
        <v>19.409836065573771</v>
      </c>
      <c r="K517" s="2">
        <f>Fardo!D514</f>
        <v>15.704918032786885</v>
      </c>
      <c r="L517" s="2">
        <f>Entworpe!D514</f>
        <v>12.5</v>
      </c>
      <c r="M517">
        <f t="shared" si="9"/>
        <v>32</v>
      </c>
    </row>
    <row r="518" spans="1:13" x14ac:dyDescent="0.2">
      <c r="A518">
        <v>514</v>
      </c>
      <c r="B518">
        <f>Calopeia!D150</f>
        <v>58</v>
      </c>
      <c r="C518">
        <f>Sorange!B515</f>
        <v>0</v>
      </c>
      <c r="D518">
        <f>Tyran!B515</f>
        <v>0</v>
      </c>
      <c r="E518">
        <f>Fardo!B515</f>
        <v>0</v>
      </c>
      <c r="F518" s="2">
        <f>Entworpe!B515</f>
        <v>0</v>
      </c>
      <c r="G518">
        <v>1244</v>
      </c>
      <c r="H518" s="2">
        <f>Calopeia!H150</f>
        <v>67.906594503598825</v>
      </c>
      <c r="I518" s="2">
        <f>Sorange!E515</f>
        <v>92.45317725752507</v>
      </c>
      <c r="J518" s="2">
        <f>Tyran!D515</f>
        <v>19.409836065573771</v>
      </c>
      <c r="K518" s="2">
        <f>Fardo!D515</f>
        <v>15.704918032786885</v>
      </c>
      <c r="L518" s="2">
        <f>Entworpe!D515</f>
        <v>12.5</v>
      </c>
      <c r="M518">
        <f t="shared" ref="M518:M581" si="10">B518+F518</f>
        <v>58</v>
      </c>
    </row>
    <row r="519" spans="1:13" x14ac:dyDescent="0.2">
      <c r="A519">
        <v>515</v>
      </c>
      <c r="B519">
        <f>Calopeia!D151</f>
        <v>78</v>
      </c>
      <c r="C519">
        <f>Sorange!B516</f>
        <v>0</v>
      </c>
      <c r="D519">
        <f>Tyran!B516</f>
        <v>0</v>
      </c>
      <c r="E519">
        <f>Fardo!B516</f>
        <v>0</v>
      </c>
      <c r="F519" s="2">
        <f>Entworpe!B516</f>
        <v>0</v>
      </c>
      <c r="G519">
        <v>1245</v>
      </c>
      <c r="H519" s="2">
        <f>Calopeia!H151</f>
        <v>67.906594503598825</v>
      </c>
      <c r="I519" s="2">
        <f>Sorange!E516</f>
        <v>92.605828953655035</v>
      </c>
      <c r="J519" s="2">
        <f>Tyran!D516</f>
        <v>19.409836065573771</v>
      </c>
      <c r="K519" s="2">
        <f>Fardo!D516</f>
        <v>15.704918032786885</v>
      </c>
      <c r="L519" s="2">
        <f>Entworpe!D516</f>
        <v>12.5</v>
      </c>
      <c r="M519">
        <f t="shared" si="10"/>
        <v>78</v>
      </c>
    </row>
    <row r="520" spans="1:13" x14ac:dyDescent="0.2">
      <c r="A520">
        <v>516</v>
      </c>
      <c r="B520">
        <f>Calopeia!D152</f>
        <v>48</v>
      </c>
      <c r="C520">
        <f>Sorange!B517</f>
        <v>0</v>
      </c>
      <c r="D520">
        <f>Tyran!B517</f>
        <v>0</v>
      </c>
      <c r="E520">
        <f>Fardo!B517</f>
        <v>0</v>
      </c>
      <c r="F520" s="2">
        <f>Entworpe!B517</f>
        <v>0</v>
      </c>
      <c r="G520">
        <v>1246</v>
      </c>
      <c r="H520" s="2">
        <f>Calopeia!H152</f>
        <v>67.906594503598825</v>
      </c>
      <c r="I520" s="2">
        <f>Sorange!E517</f>
        <v>92.758480649784985</v>
      </c>
      <c r="J520" s="2">
        <f>Tyran!D517</f>
        <v>19.409836065573771</v>
      </c>
      <c r="K520" s="2">
        <f>Fardo!D517</f>
        <v>15.704918032786885</v>
      </c>
      <c r="L520" s="2">
        <f>Entworpe!D517</f>
        <v>12.5</v>
      </c>
      <c r="M520">
        <f t="shared" si="10"/>
        <v>48</v>
      </c>
    </row>
    <row r="521" spans="1:13" x14ac:dyDescent="0.2">
      <c r="A521">
        <v>517</v>
      </c>
      <c r="B521">
        <f>Calopeia!D153</f>
        <v>97</v>
      </c>
      <c r="C521">
        <f>Sorange!B518</f>
        <v>0</v>
      </c>
      <c r="D521">
        <f>Tyran!B518</f>
        <v>0</v>
      </c>
      <c r="E521">
        <f>Fardo!B518</f>
        <v>0</v>
      </c>
      <c r="F521" s="2">
        <f>Entworpe!B518</f>
        <v>0</v>
      </c>
      <c r="G521">
        <v>1247</v>
      </c>
      <c r="H521" s="2">
        <f>Calopeia!H153</f>
        <v>67.906594503598825</v>
      </c>
      <c r="I521" s="2">
        <f>Sorange!E518</f>
        <v>92.91113234591495</v>
      </c>
      <c r="J521" s="2">
        <f>Tyran!D518</f>
        <v>19.409836065573771</v>
      </c>
      <c r="K521" s="2">
        <f>Fardo!D518</f>
        <v>15.704918032786885</v>
      </c>
      <c r="L521" s="2">
        <f>Entworpe!D518</f>
        <v>12.5</v>
      </c>
      <c r="M521">
        <f t="shared" si="10"/>
        <v>97</v>
      </c>
    </row>
    <row r="522" spans="1:13" x14ac:dyDescent="0.2">
      <c r="A522">
        <v>518</v>
      </c>
      <c r="B522">
        <f>Calopeia!D154</f>
        <v>106</v>
      </c>
      <c r="C522">
        <f>Sorange!B519</f>
        <v>0</v>
      </c>
      <c r="D522">
        <f>Tyran!B519</f>
        <v>0</v>
      </c>
      <c r="E522">
        <f>Fardo!B519</f>
        <v>0</v>
      </c>
      <c r="F522" s="2">
        <f>Entworpe!B519</f>
        <v>0</v>
      </c>
      <c r="G522">
        <v>1248</v>
      </c>
      <c r="H522" s="2">
        <f>Calopeia!H154</f>
        <v>67.906594503598825</v>
      </c>
      <c r="I522" s="2">
        <f>Sorange!E519</f>
        <v>93.063784042044901</v>
      </c>
      <c r="J522" s="2">
        <f>Tyran!D519</f>
        <v>19.409836065573771</v>
      </c>
      <c r="K522" s="2">
        <f>Fardo!D519</f>
        <v>15.704918032786885</v>
      </c>
      <c r="L522" s="2">
        <f>Entworpe!D519</f>
        <v>12.5</v>
      </c>
      <c r="M522">
        <f t="shared" si="10"/>
        <v>106</v>
      </c>
    </row>
    <row r="523" spans="1:13" x14ac:dyDescent="0.2">
      <c r="A523">
        <v>519</v>
      </c>
      <c r="B523">
        <f>Calopeia!D155</f>
        <v>53</v>
      </c>
      <c r="C523">
        <f>Sorange!B520</f>
        <v>0</v>
      </c>
      <c r="D523">
        <f>Tyran!B520</f>
        <v>0</v>
      </c>
      <c r="E523">
        <f>Fardo!B520</f>
        <v>0</v>
      </c>
      <c r="F523" s="2">
        <f>Entworpe!B520</f>
        <v>0</v>
      </c>
      <c r="G523">
        <v>1249</v>
      </c>
      <c r="H523" s="2">
        <f>Calopeia!H155</f>
        <v>67.906594503598825</v>
      </c>
      <c r="I523" s="2">
        <f>Sorange!E520</f>
        <v>93.216435738174866</v>
      </c>
      <c r="J523" s="2">
        <f>Tyran!D520</f>
        <v>19.409836065573771</v>
      </c>
      <c r="K523" s="2">
        <f>Fardo!D520</f>
        <v>15.704918032786885</v>
      </c>
      <c r="L523" s="2">
        <f>Entworpe!D520</f>
        <v>12.5</v>
      </c>
      <c r="M523">
        <f t="shared" si="10"/>
        <v>53</v>
      </c>
    </row>
    <row r="524" spans="1:13" x14ac:dyDescent="0.2">
      <c r="A524">
        <v>520</v>
      </c>
      <c r="B524">
        <f>Calopeia!D156</f>
        <v>43</v>
      </c>
      <c r="C524">
        <f>Sorange!B521</f>
        <v>0</v>
      </c>
      <c r="D524">
        <f>Tyran!B521</f>
        <v>0</v>
      </c>
      <c r="E524">
        <f>Fardo!B521</f>
        <v>0</v>
      </c>
      <c r="F524" s="2">
        <f>Entworpe!B521</f>
        <v>0</v>
      </c>
      <c r="G524">
        <v>1250</v>
      </c>
      <c r="H524" s="2">
        <f>Calopeia!H156</f>
        <v>67.906594503598825</v>
      </c>
      <c r="I524" s="2">
        <f>Sorange!E521</f>
        <v>93.369087434304816</v>
      </c>
      <c r="J524" s="2">
        <f>Tyran!D521</f>
        <v>19.409836065573771</v>
      </c>
      <c r="K524" s="2">
        <f>Fardo!D521</f>
        <v>15.704918032786885</v>
      </c>
      <c r="L524" s="2">
        <f>Entworpe!D521</f>
        <v>12.5</v>
      </c>
      <c r="M524">
        <f t="shared" si="10"/>
        <v>43</v>
      </c>
    </row>
    <row r="525" spans="1:13" x14ac:dyDescent="0.2">
      <c r="A525">
        <v>521</v>
      </c>
      <c r="B525">
        <f>Calopeia!D157</f>
        <v>59</v>
      </c>
      <c r="C525">
        <f>Sorange!B522</f>
        <v>0</v>
      </c>
      <c r="D525">
        <f>Tyran!B522</f>
        <v>0</v>
      </c>
      <c r="E525">
        <f>Fardo!B522</f>
        <v>0</v>
      </c>
      <c r="F525" s="2">
        <f>Entworpe!B522</f>
        <v>0</v>
      </c>
      <c r="G525">
        <v>1251</v>
      </c>
      <c r="H525" s="2">
        <f>Calopeia!H157</f>
        <v>67.906594503598825</v>
      </c>
      <c r="I525" s="2">
        <f>Sorange!E522</f>
        <v>93.521739130434781</v>
      </c>
      <c r="J525" s="2">
        <f>Tyran!D522</f>
        <v>19.409836065573771</v>
      </c>
      <c r="K525" s="2">
        <f>Fardo!D522</f>
        <v>15.704918032786885</v>
      </c>
      <c r="L525" s="2">
        <f>Entworpe!D522</f>
        <v>12.5</v>
      </c>
      <c r="M525">
        <f t="shared" si="10"/>
        <v>59</v>
      </c>
    </row>
    <row r="526" spans="1:13" x14ac:dyDescent="0.2">
      <c r="A526">
        <v>522</v>
      </c>
      <c r="B526">
        <f>Calopeia!D158</f>
        <v>28</v>
      </c>
      <c r="C526">
        <f>Sorange!B523</f>
        <v>0</v>
      </c>
      <c r="D526">
        <f>Tyran!B523</f>
        <v>0</v>
      </c>
      <c r="E526">
        <f>Fardo!B523</f>
        <v>0</v>
      </c>
      <c r="F526" s="2">
        <f>Entworpe!B523</f>
        <v>0</v>
      </c>
      <c r="G526">
        <v>1252</v>
      </c>
      <c r="H526" s="2">
        <f>Calopeia!H158</f>
        <v>67.906594503598825</v>
      </c>
      <c r="I526" s="2">
        <f>Sorange!E523</f>
        <v>93.674390826564732</v>
      </c>
      <c r="J526" s="2">
        <f>Tyran!D523</f>
        <v>19.409836065573771</v>
      </c>
      <c r="K526" s="2">
        <f>Fardo!D523</f>
        <v>15.704918032786885</v>
      </c>
      <c r="L526" s="2">
        <f>Entworpe!D523</f>
        <v>12.5</v>
      </c>
      <c r="M526">
        <f t="shared" si="10"/>
        <v>28</v>
      </c>
    </row>
    <row r="527" spans="1:13" x14ac:dyDescent="0.2">
      <c r="A527">
        <v>523</v>
      </c>
      <c r="B527">
        <f>Calopeia!D159</f>
        <v>70</v>
      </c>
      <c r="C527">
        <f>Sorange!B524</f>
        <v>0</v>
      </c>
      <c r="D527">
        <f>Tyran!B524</f>
        <v>0</v>
      </c>
      <c r="E527">
        <f>Fardo!B524</f>
        <v>0</v>
      </c>
      <c r="F527" s="2">
        <f>Entworpe!B524</f>
        <v>0</v>
      </c>
      <c r="G527">
        <v>1253</v>
      </c>
      <c r="H527" s="2">
        <f>Calopeia!H159</f>
        <v>67.906594503598825</v>
      </c>
      <c r="I527" s="2">
        <f>Sorange!E524</f>
        <v>93.827042522694683</v>
      </c>
      <c r="J527" s="2">
        <f>Tyran!D524</f>
        <v>19.409836065573771</v>
      </c>
      <c r="K527" s="2">
        <f>Fardo!D524</f>
        <v>15.704918032786885</v>
      </c>
      <c r="L527" s="2">
        <f>Entworpe!D524</f>
        <v>12.5</v>
      </c>
      <c r="M527">
        <f t="shared" si="10"/>
        <v>70</v>
      </c>
    </row>
    <row r="528" spans="1:13" x14ac:dyDescent="0.2">
      <c r="A528">
        <v>524</v>
      </c>
      <c r="B528">
        <f>Calopeia!D160</f>
        <v>72</v>
      </c>
      <c r="C528">
        <f>Sorange!B525</f>
        <v>0</v>
      </c>
      <c r="D528">
        <f>Tyran!B525</f>
        <v>0</v>
      </c>
      <c r="E528">
        <f>Fardo!B525</f>
        <v>0</v>
      </c>
      <c r="F528" s="2">
        <f>Entworpe!B525</f>
        <v>0</v>
      </c>
      <c r="G528">
        <v>1254</v>
      </c>
      <c r="H528" s="2">
        <f>Calopeia!H160</f>
        <v>67.906594503598825</v>
      </c>
      <c r="I528" s="2">
        <f>Sorange!E525</f>
        <v>93.979694218824648</v>
      </c>
      <c r="J528" s="2">
        <f>Tyran!D525</f>
        <v>19.409836065573771</v>
      </c>
      <c r="K528" s="2">
        <f>Fardo!D525</f>
        <v>15.704918032786885</v>
      </c>
      <c r="L528" s="2">
        <f>Entworpe!D525</f>
        <v>12.5</v>
      </c>
      <c r="M528">
        <f t="shared" si="10"/>
        <v>72</v>
      </c>
    </row>
    <row r="529" spans="1:13" x14ac:dyDescent="0.2">
      <c r="A529">
        <v>525</v>
      </c>
      <c r="B529">
        <f>Calopeia!D161</f>
        <v>80</v>
      </c>
      <c r="C529">
        <f>Sorange!B526</f>
        <v>0</v>
      </c>
      <c r="D529">
        <f>Tyran!B526</f>
        <v>0</v>
      </c>
      <c r="E529">
        <f>Fardo!B526</f>
        <v>0</v>
      </c>
      <c r="F529" s="2">
        <f>Entworpe!B526</f>
        <v>0</v>
      </c>
      <c r="G529">
        <v>1255</v>
      </c>
      <c r="H529" s="2">
        <f>Calopeia!H161</f>
        <v>67.906594503598825</v>
      </c>
      <c r="I529" s="2">
        <f>Sorange!E526</f>
        <v>94.132345914954598</v>
      </c>
      <c r="J529" s="2">
        <f>Tyran!D526</f>
        <v>19.409836065573771</v>
      </c>
      <c r="K529" s="2">
        <f>Fardo!D526</f>
        <v>15.704918032786885</v>
      </c>
      <c r="L529" s="2">
        <f>Entworpe!D526</f>
        <v>12.5</v>
      </c>
      <c r="M529">
        <f t="shared" si="10"/>
        <v>80</v>
      </c>
    </row>
    <row r="530" spans="1:13" x14ac:dyDescent="0.2">
      <c r="A530">
        <v>526</v>
      </c>
      <c r="B530">
        <f>Calopeia!D162</f>
        <v>53</v>
      </c>
      <c r="C530">
        <f>Sorange!B527</f>
        <v>0</v>
      </c>
      <c r="D530">
        <f>Tyran!B527</f>
        <v>0</v>
      </c>
      <c r="E530">
        <f>Fardo!B527</f>
        <v>0</v>
      </c>
      <c r="F530" s="2">
        <f>Entworpe!B527</f>
        <v>0</v>
      </c>
      <c r="G530">
        <v>1256</v>
      </c>
      <c r="H530" s="2">
        <f>Calopeia!H162</f>
        <v>67.906594503598825</v>
      </c>
      <c r="I530" s="2">
        <f>Sorange!E527</f>
        <v>94.284997611084563</v>
      </c>
      <c r="J530" s="2">
        <f>Tyran!D527</f>
        <v>19.409836065573771</v>
      </c>
      <c r="K530" s="2">
        <f>Fardo!D527</f>
        <v>15.704918032786885</v>
      </c>
      <c r="L530" s="2">
        <f>Entworpe!D527</f>
        <v>12.5</v>
      </c>
      <c r="M530">
        <f t="shared" si="10"/>
        <v>53</v>
      </c>
    </row>
    <row r="531" spans="1:13" x14ac:dyDescent="0.2">
      <c r="A531">
        <v>527</v>
      </c>
      <c r="B531">
        <f>Calopeia!D163</f>
        <v>52</v>
      </c>
      <c r="C531">
        <f>Sorange!B528</f>
        <v>0</v>
      </c>
      <c r="D531">
        <f>Tyran!B528</f>
        <v>0</v>
      </c>
      <c r="E531">
        <f>Fardo!B528</f>
        <v>0</v>
      </c>
      <c r="F531" s="2">
        <f>Entworpe!B528</f>
        <v>0</v>
      </c>
      <c r="G531">
        <v>1257</v>
      </c>
      <c r="H531" s="2">
        <f>Calopeia!H163</f>
        <v>67.906594503598825</v>
      </c>
      <c r="I531" s="2">
        <f>Sorange!E528</f>
        <v>94.437649307214514</v>
      </c>
      <c r="J531" s="2">
        <f>Tyran!D528</f>
        <v>19.409836065573771</v>
      </c>
      <c r="K531" s="2">
        <f>Fardo!D528</f>
        <v>15.704918032786885</v>
      </c>
      <c r="L531" s="2">
        <f>Entworpe!D528</f>
        <v>12.5</v>
      </c>
      <c r="M531">
        <f t="shared" si="10"/>
        <v>52</v>
      </c>
    </row>
    <row r="532" spans="1:13" x14ac:dyDescent="0.2">
      <c r="A532">
        <v>528</v>
      </c>
      <c r="B532">
        <f>Calopeia!D164</f>
        <v>64</v>
      </c>
      <c r="C532">
        <f>Sorange!B529</f>
        <v>0</v>
      </c>
      <c r="D532">
        <f>Tyran!B529</f>
        <v>0</v>
      </c>
      <c r="E532">
        <f>Fardo!B529</f>
        <v>0</v>
      </c>
      <c r="F532" s="2">
        <f>Entworpe!B529</f>
        <v>0</v>
      </c>
      <c r="G532">
        <v>1258</v>
      </c>
      <c r="H532" s="2">
        <f>Calopeia!H164</f>
        <v>67.906594503598825</v>
      </c>
      <c r="I532" s="2">
        <f>Sorange!E529</f>
        <v>94.590301003344479</v>
      </c>
      <c r="J532" s="2">
        <f>Tyran!D529</f>
        <v>19.409836065573771</v>
      </c>
      <c r="K532" s="2">
        <f>Fardo!D529</f>
        <v>15.704918032786885</v>
      </c>
      <c r="L532" s="2">
        <f>Entworpe!D529</f>
        <v>12.5</v>
      </c>
      <c r="M532">
        <f t="shared" si="10"/>
        <v>64</v>
      </c>
    </row>
    <row r="533" spans="1:13" x14ac:dyDescent="0.2">
      <c r="A533">
        <v>529</v>
      </c>
      <c r="B533">
        <f>Calopeia!D165</f>
        <v>66</v>
      </c>
      <c r="C533">
        <f>Sorange!B530</f>
        <v>0</v>
      </c>
      <c r="D533">
        <f>Tyran!B530</f>
        <v>0</v>
      </c>
      <c r="E533">
        <f>Fardo!B530</f>
        <v>0</v>
      </c>
      <c r="F533" s="2">
        <f>Entworpe!B530</f>
        <v>0</v>
      </c>
      <c r="G533">
        <v>1259</v>
      </c>
      <c r="H533" s="2">
        <f>Calopeia!H165</f>
        <v>67.906594503598825</v>
      </c>
      <c r="I533" s="2">
        <f>Sorange!E530</f>
        <v>94.742952699474429</v>
      </c>
      <c r="J533" s="2">
        <f>Tyran!D530</f>
        <v>19.409836065573771</v>
      </c>
      <c r="K533" s="2">
        <f>Fardo!D530</f>
        <v>15.704918032786885</v>
      </c>
      <c r="L533" s="2">
        <f>Entworpe!D530</f>
        <v>12.5</v>
      </c>
      <c r="M533">
        <f t="shared" si="10"/>
        <v>66</v>
      </c>
    </row>
    <row r="534" spans="1:13" x14ac:dyDescent="0.2">
      <c r="A534">
        <v>530</v>
      </c>
      <c r="B534">
        <f>Calopeia!D166</f>
        <v>62</v>
      </c>
      <c r="C534">
        <f>Sorange!B531</f>
        <v>0</v>
      </c>
      <c r="D534">
        <f>Tyran!B531</f>
        <v>0</v>
      </c>
      <c r="E534">
        <f>Fardo!B531</f>
        <v>0</v>
      </c>
      <c r="F534" s="2">
        <f>Entworpe!B531</f>
        <v>0</v>
      </c>
      <c r="G534">
        <v>1260</v>
      </c>
      <c r="H534" s="2">
        <f>Calopeia!H166</f>
        <v>67.906594503598825</v>
      </c>
      <c r="I534" s="2">
        <f>Sorange!E531</f>
        <v>94.895604395604394</v>
      </c>
      <c r="J534" s="2">
        <f>Tyran!D531</f>
        <v>19.409836065573771</v>
      </c>
      <c r="K534" s="2">
        <f>Fardo!D531</f>
        <v>15.704918032786885</v>
      </c>
      <c r="L534" s="2">
        <f>Entworpe!D531</f>
        <v>12.5</v>
      </c>
      <c r="M534">
        <f t="shared" si="10"/>
        <v>62</v>
      </c>
    </row>
    <row r="535" spans="1:13" x14ac:dyDescent="0.2">
      <c r="A535">
        <v>531</v>
      </c>
      <c r="B535">
        <f>Calopeia!D167</f>
        <v>66</v>
      </c>
      <c r="C535">
        <f>Sorange!B532</f>
        <v>0</v>
      </c>
      <c r="D535">
        <f>Tyran!B532</f>
        <v>0</v>
      </c>
      <c r="E535">
        <f>Fardo!B532</f>
        <v>0</v>
      </c>
      <c r="F535" s="2">
        <f>Entworpe!B532</f>
        <v>0</v>
      </c>
      <c r="G535">
        <v>1261</v>
      </c>
      <c r="H535" s="2">
        <f>Calopeia!H167</f>
        <v>67.906594503598825</v>
      </c>
      <c r="I535" s="2">
        <f>Sorange!E532</f>
        <v>95.048256091734345</v>
      </c>
      <c r="J535" s="2">
        <f>Tyran!D532</f>
        <v>19.409836065573771</v>
      </c>
      <c r="K535" s="2">
        <f>Fardo!D532</f>
        <v>15.704918032786885</v>
      </c>
      <c r="L535" s="2">
        <f>Entworpe!D532</f>
        <v>12.5</v>
      </c>
      <c r="M535">
        <f t="shared" si="10"/>
        <v>66</v>
      </c>
    </row>
    <row r="536" spans="1:13" x14ac:dyDescent="0.2">
      <c r="A536">
        <v>532</v>
      </c>
      <c r="B536">
        <f>Calopeia!D168</f>
        <v>94</v>
      </c>
      <c r="C536">
        <f>Sorange!B533</f>
        <v>0</v>
      </c>
      <c r="D536">
        <f>Tyran!B533</f>
        <v>0</v>
      </c>
      <c r="E536">
        <f>Fardo!B533</f>
        <v>0</v>
      </c>
      <c r="F536" s="2">
        <f>Entworpe!B533</f>
        <v>0</v>
      </c>
      <c r="G536">
        <v>1262</v>
      </c>
      <c r="H536" s="2">
        <f>Calopeia!H168</f>
        <v>67.906594503598825</v>
      </c>
      <c r="I536" s="2">
        <f>Sorange!E533</f>
        <v>95.200907787864296</v>
      </c>
      <c r="J536" s="2">
        <f>Tyran!D533</f>
        <v>19.409836065573771</v>
      </c>
      <c r="K536" s="2">
        <f>Fardo!D533</f>
        <v>15.704918032786885</v>
      </c>
      <c r="L536" s="2">
        <f>Entworpe!D533</f>
        <v>12.5</v>
      </c>
      <c r="M536">
        <f t="shared" si="10"/>
        <v>94</v>
      </c>
    </row>
    <row r="537" spans="1:13" x14ac:dyDescent="0.2">
      <c r="A537">
        <v>533</v>
      </c>
      <c r="B537">
        <f>Calopeia!D169</f>
        <v>88</v>
      </c>
      <c r="C537">
        <f>Sorange!B534</f>
        <v>0</v>
      </c>
      <c r="D537">
        <f>Tyran!B534</f>
        <v>0</v>
      </c>
      <c r="E537">
        <f>Fardo!B534</f>
        <v>0</v>
      </c>
      <c r="F537" s="2">
        <f>Entworpe!B534</f>
        <v>0</v>
      </c>
      <c r="G537">
        <v>1263</v>
      </c>
      <c r="H537" s="2">
        <f>Calopeia!H169</f>
        <v>67.906594503598825</v>
      </c>
      <c r="I537" s="2">
        <f>Sorange!E534</f>
        <v>95.35355948399426</v>
      </c>
      <c r="J537" s="2">
        <f>Tyran!D534</f>
        <v>19.409836065573771</v>
      </c>
      <c r="K537" s="2">
        <f>Fardo!D534</f>
        <v>15.704918032786885</v>
      </c>
      <c r="L537" s="2">
        <f>Entworpe!D534</f>
        <v>12.5</v>
      </c>
      <c r="M537">
        <f t="shared" si="10"/>
        <v>88</v>
      </c>
    </row>
    <row r="538" spans="1:13" x14ac:dyDescent="0.2">
      <c r="A538">
        <v>534</v>
      </c>
      <c r="B538">
        <f>Calopeia!D170</f>
        <v>37</v>
      </c>
      <c r="C538">
        <f>Sorange!B535</f>
        <v>0</v>
      </c>
      <c r="D538">
        <f>Tyran!B535</f>
        <v>0</v>
      </c>
      <c r="E538">
        <f>Fardo!B535</f>
        <v>0</v>
      </c>
      <c r="F538" s="2">
        <f>Entworpe!B535</f>
        <v>0</v>
      </c>
      <c r="G538">
        <v>1264</v>
      </c>
      <c r="H538" s="2">
        <f>Calopeia!H170</f>
        <v>67.906594503598825</v>
      </c>
      <c r="I538" s="2">
        <f>Sorange!E535</f>
        <v>95.506211180124211</v>
      </c>
      <c r="J538" s="2">
        <f>Tyran!D535</f>
        <v>19.409836065573771</v>
      </c>
      <c r="K538" s="2">
        <f>Fardo!D535</f>
        <v>15.704918032786885</v>
      </c>
      <c r="L538" s="2">
        <f>Entworpe!D535</f>
        <v>12.5</v>
      </c>
      <c r="M538">
        <f t="shared" si="10"/>
        <v>37</v>
      </c>
    </row>
    <row r="539" spans="1:13" x14ac:dyDescent="0.2">
      <c r="A539">
        <v>535</v>
      </c>
      <c r="B539">
        <f>Calopeia!D171</f>
        <v>71</v>
      </c>
      <c r="C539">
        <f>Sorange!B536</f>
        <v>0</v>
      </c>
      <c r="D539">
        <f>Tyran!B536</f>
        <v>0</v>
      </c>
      <c r="E539">
        <f>Fardo!B536</f>
        <v>0</v>
      </c>
      <c r="F539" s="2">
        <f>Entworpe!B536</f>
        <v>0</v>
      </c>
      <c r="G539">
        <v>1265</v>
      </c>
      <c r="H539" s="2">
        <f>Calopeia!H171</f>
        <v>67.906594503598825</v>
      </c>
      <c r="I539" s="2">
        <f>Sorange!E536</f>
        <v>95.658862876254176</v>
      </c>
      <c r="J539" s="2">
        <f>Tyran!D536</f>
        <v>19.409836065573771</v>
      </c>
      <c r="K539" s="2">
        <f>Fardo!D536</f>
        <v>15.704918032786885</v>
      </c>
      <c r="L539" s="2">
        <f>Entworpe!D536</f>
        <v>12.5</v>
      </c>
      <c r="M539">
        <f t="shared" si="10"/>
        <v>71</v>
      </c>
    </row>
    <row r="540" spans="1:13" x14ac:dyDescent="0.2">
      <c r="A540">
        <v>536</v>
      </c>
      <c r="B540">
        <f>Calopeia!D172</f>
        <v>89</v>
      </c>
      <c r="C540">
        <f>Sorange!B537</f>
        <v>0</v>
      </c>
      <c r="D540">
        <f>Tyran!B537</f>
        <v>0</v>
      </c>
      <c r="E540">
        <f>Fardo!B537</f>
        <v>0</v>
      </c>
      <c r="F540" s="2">
        <f>Entworpe!B537</f>
        <v>0</v>
      </c>
      <c r="G540">
        <v>1266</v>
      </c>
      <c r="H540" s="2">
        <f>Calopeia!H172</f>
        <v>67.906594503598825</v>
      </c>
      <c r="I540" s="2">
        <f>Sorange!E537</f>
        <v>95.811514572384127</v>
      </c>
      <c r="J540" s="2">
        <f>Tyran!D537</f>
        <v>19.409836065573771</v>
      </c>
      <c r="K540" s="2">
        <f>Fardo!D537</f>
        <v>15.704918032786885</v>
      </c>
      <c r="L540" s="2">
        <f>Entworpe!D537</f>
        <v>12.5</v>
      </c>
      <c r="M540">
        <f t="shared" si="10"/>
        <v>89</v>
      </c>
    </row>
    <row r="541" spans="1:13" x14ac:dyDescent="0.2">
      <c r="A541">
        <v>537</v>
      </c>
      <c r="B541">
        <f>Calopeia!D173</f>
        <v>83</v>
      </c>
      <c r="C541">
        <f>Sorange!B538</f>
        <v>0</v>
      </c>
      <c r="D541">
        <f>Tyran!B538</f>
        <v>0</v>
      </c>
      <c r="E541">
        <f>Fardo!B538</f>
        <v>0</v>
      </c>
      <c r="F541" s="2">
        <f>Entworpe!B538</f>
        <v>0</v>
      </c>
      <c r="G541">
        <v>1267</v>
      </c>
      <c r="H541" s="2">
        <f>Calopeia!H173</f>
        <v>67.906594503598825</v>
      </c>
      <c r="I541" s="2">
        <f>Sorange!E538</f>
        <v>95.964166268514091</v>
      </c>
      <c r="J541" s="2">
        <f>Tyran!D538</f>
        <v>19.409836065573771</v>
      </c>
      <c r="K541" s="2">
        <f>Fardo!D538</f>
        <v>15.704918032786885</v>
      </c>
      <c r="L541" s="2">
        <f>Entworpe!D538</f>
        <v>12.5</v>
      </c>
      <c r="M541">
        <f t="shared" si="10"/>
        <v>83</v>
      </c>
    </row>
    <row r="542" spans="1:13" x14ac:dyDescent="0.2">
      <c r="A542">
        <v>538</v>
      </c>
      <c r="B542">
        <f>Calopeia!D174</f>
        <v>72</v>
      </c>
      <c r="C542">
        <f>Sorange!B539</f>
        <v>0</v>
      </c>
      <c r="D542">
        <f>Tyran!B539</f>
        <v>0</v>
      </c>
      <c r="E542">
        <f>Fardo!B539</f>
        <v>0</v>
      </c>
      <c r="F542" s="2">
        <f>Entworpe!B539</f>
        <v>0</v>
      </c>
      <c r="G542">
        <v>1268</v>
      </c>
      <c r="H542" s="2">
        <f>Calopeia!H174</f>
        <v>67.906594503598825</v>
      </c>
      <c r="I542" s="2">
        <f>Sorange!E539</f>
        <v>96.116817964644042</v>
      </c>
      <c r="J542" s="2">
        <f>Tyran!D539</f>
        <v>19.409836065573771</v>
      </c>
      <c r="K542" s="2">
        <f>Fardo!D539</f>
        <v>15.704918032786885</v>
      </c>
      <c r="L542" s="2">
        <f>Entworpe!D539</f>
        <v>12.5</v>
      </c>
      <c r="M542">
        <f t="shared" si="10"/>
        <v>72</v>
      </c>
    </row>
    <row r="543" spans="1:13" x14ac:dyDescent="0.2">
      <c r="A543">
        <v>539</v>
      </c>
      <c r="B543">
        <f>Calopeia!D175</f>
        <v>86</v>
      </c>
      <c r="C543">
        <f>Sorange!B540</f>
        <v>0</v>
      </c>
      <c r="D543">
        <f>Tyran!B540</f>
        <v>0</v>
      </c>
      <c r="E543">
        <f>Fardo!B540</f>
        <v>0</v>
      </c>
      <c r="F543" s="2">
        <f>Entworpe!B540</f>
        <v>0</v>
      </c>
      <c r="G543">
        <v>1269</v>
      </c>
      <c r="H543" s="2">
        <f>Calopeia!H175</f>
        <v>67.906594503598825</v>
      </c>
      <c r="I543" s="2">
        <f>Sorange!E540</f>
        <v>96.269469660774007</v>
      </c>
      <c r="J543" s="2">
        <f>Tyran!D540</f>
        <v>19.409836065573771</v>
      </c>
      <c r="K543" s="2">
        <f>Fardo!D540</f>
        <v>15.704918032786885</v>
      </c>
      <c r="L543" s="2">
        <f>Entworpe!D540</f>
        <v>12.5</v>
      </c>
      <c r="M543">
        <f t="shared" si="10"/>
        <v>86</v>
      </c>
    </row>
    <row r="544" spans="1:13" x14ac:dyDescent="0.2">
      <c r="A544">
        <v>540</v>
      </c>
      <c r="B544">
        <f>Calopeia!D176</f>
        <v>53</v>
      </c>
      <c r="C544">
        <f>Sorange!B541</f>
        <v>0</v>
      </c>
      <c r="D544">
        <f>Tyran!B541</f>
        <v>0</v>
      </c>
      <c r="E544">
        <f>Fardo!B541</f>
        <v>0</v>
      </c>
      <c r="F544" s="2">
        <f>Entworpe!B541</f>
        <v>0</v>
      </c>
      <c r="G544">
        <v>1270</v>
      </c>
      <c r="H544" s="2">
        <f>Calopeia!H176</f>
        <v>67.906594503598825</v>
      </c>
      <c r="I544" s="2">
        <f>Sorange!E541</f>
        <v>96.422121356903958</v>
      </c>
      <c r="J544" s="2">
        <f>Tyran!D541</f>
        <v>19.409836065573771</v>
      </c>
      <c r="K544" s="2">
        <f>Fardo!D541</f>
        <v>15.704918032786885</v>
      </c>
      <c r="L544" s="2">
        <f>Entworpe!D541</f>
        <v>12.5</v>
      </c>
      <c r="M544">
        <f t="shared" si="10"/>
        <v>53</v>
      </c>
    </row>
    <row r="545" spans="1:13" x14ac:dyDescent="0.2">
      <c r="A545">
        <v>541</v>
      </c>
      <c r="B545">
        <f>Calopeia!D177</f>
        <v>72</v>
      </c>
      <c r="C545">
        <f>Sorange!B542</f>
        <v>0</v>
      </c>
      <c r="D545">
        <f>Tyran!B542</f>
        <v>0</v>
      </c>
      <c r="E545">
        <f>Fardo!B542</f>
        <v>0</v>
      </c>
      <c r="F545" s="2">
        <f>Entworpe!B542</f>
        <v>0</v>
      </c>
      <c r="G545">
        <v>1271</v>
      </c>
      <c r="H545" s="2">
        <f>Calopeia!H177</f>
        <v>67.906594503598825</v>
      </c>
      <c r="I545" s="2">
        <f>Sorange!E542</f>
        <v>96.574773053033908</v>
      </c>
      <c r="J545" s="2">
        <f>Tyran!D542</f>
        <v>19.409836065573771</v>
      </c>
      <c r="K545" s="2">
        <f>Fardo!D542</f>
        <v>15.704918032786885</v>
      </c>
      <c r="L545" s="2">
        <f>Entworpe!D542</f>
        <v>12.5</v>
      </c>
      <c r="M545">
        <f t="shared" si="10"/>
        <v>72</v>
      </c>
    </row>
    <row r="546" spans="1:13" x14ac:dyDescent="0.2">
      <c r="A546">
        <v>542</v>
      </c>
      <c r="B546">
        <f>Calopeia!D178</f>
        <v>107</v>
      </c>
      <c r="C546">
        <f>Sorange!B543</f>
        <v>0</v>
      </c>
      <c r="D546">
        <f>Tyran!B543</f>
        <v>0</v>
      </c>
      <c r="E546">
        <f>Fardo!B543</f>
        <v>0</v>
      </c>
      <c r="F546" s="2">
        <f>Entworpe!B543</f>
        <v>0</v>
      </c>
      <c r="G546">
        <v>1272</v>
      </c>
      <c r="H546" s="2">
        <f>Calopeia!H178</f>
        <v>67.906594503598825</v>
      </c>
      <c r="I546" s="2">
        <f>Sorange!E543</f>
        <v>96.727424749163873</v>
      </c>
      <c r="J546" s="2">
        <f>Tyran!D543</f>
        <v>19.409836065573771</v>
      </c>
      <c r="K546" s="2">
        <f>Fardo!D543</f>
        <v>15.704918032786885</v>
      </c>
      <c r="L546" s="2">
        <f>Entworpe!D543</f>
        <v>12.5</v>
      </c>
      <c r="M546">
        <f t="shared" si="10"/>
        <v>107</v>
      </c>
    </row>
    <row r="547" spans="1:13" x14ac:dyDescent="0.2">
      <c r="A547">
        <v>543</v>
      </c>
      <c r="B547">
        <f>Calopeia!D179</f>
        <v>42</v>
      </c>
      <c r="C547">
        <f>Sorange!B544</f>
        <v>0</v>
      </c>
      <c r="D547">
        <f>Tyran!B544</f>
        <v>0</v>
      </c>
      <c r="E547">
        <f>Fardo!B544</f>
        <v>0</v>
      </c>
      <c r="F547" s="2">
        <f>Entworpe!B544</f>
        <v>0</v>
      </c>
      <c r="G547">
        <v>1273</v>
      </c>
      <c r="H547" s="2">
        <f>Calopeia!H179</f>
        <v>67.906594503598825</v>
      </c>
      <c r="I547" s="2">
        <f>Sorange!E544</f>
        <v>96.880076445293824</v>
      </c>
      <c r="J547" s="2">
        <f>Tyran!D544</f>
        <v>19.409836065573771</v>
      </c>
      <c r="K547" s="2">
        <f>Fardo!D544</f>
        <v>15.704918032786885</v>
      </c>
      <c r="L547" s="2">
        <f>Entworpe!D544</f>
        <v>12.5</v>
      </c>
      <c r="M547">
        <f t="shared" si="10"/>
        <v>42</v>
      </c>
    </row>
    <row r="548" spans="1:13" x14ac:dyDescent="0.2">
      <c r="A548">
        <v>544</v>
      </c>
      <c r="B548">
        <f>Calopeia!D180</f>
        <v>76</v>
      </c>
      <c r="C548">
        <f>Sorange!B545</f>
        <v>0</v>
      </c>
      <c r="D548">
        <f>Tyran!B545</f>
        <v>0</v>
      </c>
      <c r="E548">
        <f>Fardo!B545</f>
        <v>0</v>
      </c>
      <c r="F548" s="2">
        <f>Entworpe!B545</f>
        <v>0</v>
      </c>
      <c r="G548">
        <v>1274</v>
      </c>
      <c r="H548" s="2">
        <f>Calopeia!H180</f>
        <v>67.906594503598825</v>
      </c>
      <c r="I548" s="2">
        <f>Sorange!E545</f>
        <v>97.032728141423789</v>
      </c>
      <c r="J548" s="2">
        <f>Tyran!D545</f>
        <v>19.409836065573771</v>
      </c>
      <c r="K548" s="2">
        <f>Fardo!D545</f>
        <v>15.704918032786885</v>
      </c>
      <c r="L548" s="2">
        <f>Entworpe!D545</f>
        <v>12.5</v>
      </c>
      <c r="M548">
        <f t="shared" si="10"/>
        <v>76</v>
      </c>
    </row>
    <row r="549" spans="1:13" x14ac:dyDescent="0.2">
      <c r="A549">
        <v>545</v>
      </c>
      <c r="B549">
        <f>Calopeia!D181</f>
        <v>44</v>
      </c>
      <c r="C549">
        <f>Sorange!B546</f>
        <v>0</v>
      </c>
      <c r="D549">
        <f>Tyran!B546</f>
        <v>0</v>
      </c>
      <c r="E549">
        <f>Fardo!B546</f>
        <v>0</v>
      </c>
      <c r="F549" s="2">
        <f>Entworpe!B546</f>
        <v>0</v>
      </c>
      <c r="G549">
        <v>1275</v>
      </c>
      <c r="H549" s="2">
        <f>Calopeia!H181</f>
        <v>67.906594503598825</v>
      </c>
      <c r="I549" s="2">
        <f>Sorange!E546</f>
        <v>97.185379837553739</v>
      </c>
      <c r="J549" s="2">
        <f>Tyran!D546</f>
        <v>19.409836065573771</v>
      </c>
      <c r="K549" s="2">
        <f>Fardo!D546</f>
        <v>15.704918032786885</v>
      </c>
      <c r="L549" s="2">
        <f>Entworpe!D546</f>
        <v>12.5</v>
      </c>
      <c r="M549">
        <f t="shared" si="10"/>
        <v>44</v>
      </c>
    </row>
    <row r="550" spans="1:13" x14ac:dyDescent="0.2">
      <c r="A550">
        <v>546</v>
      </c>
      <c r="B550">
        <f>Calopeia!D182</f>
        <v>45</v>
      </c>
      <c r="C550">
        <f>Sorange!B547</f>
        <v>0</v>
      </c>
      <c r="D550">
        <f>Tyran!B547</f>
        <v>0</v>
      </c>
      <c r="E550">
        <f>Fardo!B547</f>
        <v>0</v>
      </c>
      <c r="F550" s="2">
        <f>Entworpe!B547</f>
        <v>0</v>
      </c>
      <c r="G550">
        <v>1276</v>
      </c>
      <c r="H550" s="2">
        <f>Calopeia!H182</f>
        <v>67.906594503598825</v>
      </c>
      <c r="I550" s="2">
        <f>Sorange!E547</f>
        <v>97.338031533683704</v>
      </c>
      <c r="J550" s="2">
        <f>Tyran!D547</f>
        <v>19.409836065573771</v>
      </c>
      <c r="K550" s="2">
        <f>Fardo!D547</f>
        <v>15.704918032786885</v>
      </c>
      <c r="L550" s="2">
        <f>Entworpe!D547</f>
        <v>12.5</v>
      </c>
      <c r="M550">
        <f t="shared" si="10"/>
        <v>45</v>
      </c>
    </row>
    <row r="551" spans="1:13" x14ac:dyDescent="0.2">
      <c r="A551">
        <v>547</v>
      </c>
      <c r="B551">
        <f>Calopeia!D183</f>
        <v>63</v>
      </c>
      <c r="C551">
        <f>Sorange!B548</f>
        <v>0</v>
      </c>
      <c r="D551">
        <f>Tyran!B548</f>
        <v>0</v>
      </c>
      <c r="E551">
        <f>Fardo!B548</f>
        <v>0</v>
      </c>
      <c r="F551" s="2">
        <f>Entworpe!B548</f>
        <v>0</v>
      </c>
      <c r="G551">
        <v>1277</v>
      </c>
      <c r="H551" s="2">
        <f>Calopeia!H183</f>
        <v>67.906594503598825</v>
      </c>
      <c r="I551" s="2">
        <f>Sorange!E548</f>
        <v>97.490683229813655</v>
      </c>
      <c r="J551" s="2">
        <f>Tyran!D548</f>
        <v>19.409836065573771</v>
      </c>
      <c r="K551" s="2">
        <f>Fardo!D548</f>
        <v>15.704918032786885</v>
      </c>
      <c r="L551" s="2">
        <f>Entworpe!D548</f>
        <v>12.5</v>
      </c>
      <c r="M551">
        <f t="shared" si="10"/>
        <v>63</v>
      </c>
    </row>
    <row r="552" spans="1:13" x14ac:dyDescent="0.2">
      <c r="A552">
        <v>548</v>
      </c>
      <c r="B552">
        <f>Calopeia!D184</f>
        <v>53</v>
      </c>
      <c r="C552">
        <f>Sorange!B549</f>
        <v>0</v>
      </c>
      <c r="D552">
        <f>Tyran!B549</f>
        <v>0</v>
      </c>
      <c r="E552">
        <f>Fardo!B549</f>
        <v>0</v>
      </c>
      <c r="F552" s="2">
        <f>Entworpe!B549</f>
        <v>0</v>
      </c>
      <c r="G552">
        <v>1278</v>
      </c>
      <c r="H552" s="2">
        <f>Calopeia!H184</f>
        <v>67.906594503598825</v>
      </c>
      <c r="I552" s="2">
        <f>Sorange!E549</f>
        <v>97.64333492594362</v>
      </c>
      <c r="J552" s="2">
        <f>Tyran!D549</f>
        <v>19.409836065573771</v>
      </c>
      <c r="K552" s="2">
        <f>Fardo!D549</f>
        <v>15.704918032786885</v>
      </c>
      <c r="L552" s="2">
        <f>Entworpe!D549</f>
        <v>12.5</v>
      </c>
      <c r="M552">
        <f t="shared" si="10"/>
        <v>53</v>
      </c>
    </row>
    <row r="553" spans="1:13" x14ac:dyDescent="0.2">
      <c r="A553">
        <v>549</v>
      </c>
      <c r="B553">
        <f>Calopeia!D185</f>
        <v>98</v>
      </c>
      <c r="C553">
        <f>Sorange!B550</f>
        <v>0</v>
      </c>
      <c r="D553">
        <f>Tyran!B550</f>
        <v>0</v>
      </c>
      <c r="E553">
        <f>Fardo!B550</f>
        <v>0</v>
      </c>
      <c r="F553" s="2">
        <f>Entworpe!B550</f>
        <v>0</v>
      </c>
      <c r="G553">
        <v>1279</v>
      </c>
      <c r="H553" s="2">
        <f>Calopeia!H185</f>
        <v>67.906594503598825</v>
      </c>
      <c r="I553" s="2">
        <f>Sorange!E550</f>
        <v>97.795986622073571</v>
      </c>
      <c r="J553" s="2">
        <f>Tyran!D550</f>
        <v>19.409836065573771</v>
      </c>
      <c r="K553" s="2">
        <f>Fardo!D550</f>
        <v>15.704918032786885</v>
      </c>
      <c r="L553" s="2">
        <f>Entworpe!D550</f>
        <v>12.5</v>
      </c>
      <c r="M553">
        <f t="shared" si="10"/>
        <v>98</v>
      </c>
    </row>
    <row r="554" spans="1:13" x14ac:dyDescent="0.2">
      <c r="A554">
        <v>550</v>
      </c>
      <c r="B554">
        <f>Calopeia!D186</f>
        <v>89</v>
      </c>
      <c r="C554">
        <f>Sorange!B551</f>
        <v>0</v>
      </c>
      <c r="D554">
        <f>Tyran!B551</f>
        <v>0</v>
      </c>
      <c r="E554">
        <f>Fardo!B551</f>
        <v>0</v>
      </c>
      <c r="F554" s="2">
        <f>Entworpe!B551</f>
        <v>0</v>
      </c>
      <c r="G554">
        <v>1280</v>
      </c>
      <c r="H554" s="2">
        <f>Calopeia!H186</f>
        <v>67.906594503598825</v>
      </c>
      <c r="I554" s="2">
        <f>Sorange!E551</f>
        <v>97.948638318203521</v>
      </c>
      <c r="J554" s="2">
        <f>Tyran!D551</f>
        <v>19.409836065573771</v>
      </c>
      <c r="K554" s="2">
        <f>Fardo!D551</f>
        <v>15.704918032786885</v>
      </c>
      <c r="L554" s="2">
        <f>Entworpe!D551</f>
        <v>12.5</v>
      </c>
      <c r="M554">
        <f t="shared" si="10"/>
        <v>89</v>
      </c>
    </row>
    <row r="555" spans="1:13" x14ac:dyDescent="0.2">
      <c r="A555">
        <v>551</v>
      </c>
      <c r="B555">
        <f>Calopeia!D187</f>
        <v>92</v>
      </c>
      <c r="C555">
        <f>Sorange!B552</f>
        <v>0</v>
      </c>
      <c r="D555">
        <f>Tyran!B552</f>
        <v>0</v>
      </c>
      <c r="E555">
        <f>Fardo!B552</f>
        <v>0</v>
      </c>
      <c r="F555" s="2">
        <f>Entworpe!B552</f>
        <v>0</v>
      </c>
      <c r="G555">
        <v>1281</v>
      </c>
      <c r="H555" s="2">
        <f>Calopeia!H187</f>
        <v>67.906594503598825</v>
      </c>
      <c r="I555" s="2">
        <f>Sorange!E552</f>
        <v>98.101290014333486</v>
      </c>
      <c r="J555" s="2">
        <f>Tyran!D552</f>
        <v>19.409836065573771</v>
      </c>
      <c r="K555" s="2">
        <f>Fardo!D552</f>
        <v>15.704918032786885</v>
      </c>
      <c r="L555" s="2">
        <f>Entworpe!D552</f>
        <v>12.5</v>
      </c>
      <c r="M555">
        <f t="shared" si="10"/>
        <v>92</v>
      </c>
    </row>
    <row r="556" spans="1:13" x14ac:dyDescent="0.2">
      <c r="A556">
        <v>552</v>
      </c>
      <c r="B556">
        <f>Calopeia!D188</f>
        <v>51</v>
      </c>
      <c r="C556">
        <f>Sorange!B553</f>
        <v>0</v>
      </c>
      <c r="D556">
        <f>Tyran!B553</f>
        <v>0</v>
      </c>
      <c r="E556">
        <f>Fardo!B553</f>
        <v>0</v>
      </c>
      <c r="F556" s="2">
        <f>Entworpe!B553</f>
        <v>0</v>
      </c>
      <c r="G556">
        <v>1282</v>
      </c>
      <c r="H556" s="2">
        <f>Calopeia!H188</f>
        <v>67.906594503598825</v>
      </c>
      <c r="I556" s="2">
        <f>Sorange!E553</f>
        <v>98.253941710463437</v>
      </c>
      <c r="J556" s="2">
        <f>Tyran!D553</f>
        <v>19.409836065573771</v>
      </c>
      <c r="K556" s="2">
        <f>Fardo!D553</f>
        <v>15.704918032786885</v>
      </c>
      <c r="L556" s="2">
        <f>Entworpe!D553</f>
        <v>12.5</v>
      </c>
      <c r="M556">
        <f t="shared" si="10"/>
        <v>51</v>
      </c>
    </row>
    <row r="557" spans="1:13" x14ac:dyDescent="0.2">
      <c r="A557">
        <v>553</v>
      </c>
      <c r="B557">
        <f>Calopeia!D189</f>
        <v>79</v>
      </c>
      <c r="C557">
        <f>Sorange!B554</f>
        <v>0</v>
      </c>
      <c r="D557">
        <f>Tyran!B554</f>
        <v>0</v>
      </c>
      <c r="E557">
        <f>Fardo!B554</f>
        <v>0</v>
      </c>
      <c r="F557" s="2">
        <f>Entworpe!B554</f>
        <v>0</v>
      </c>
      <c r="G557">
        <v>1283</v>
      </c>
      <c r="H557" s="2">
        <f>Calopeia!H189</f>
        <v>67.906594503598825</v>
      </c>
      <c r="I557" s="2">
        <f>Sorange!E554</f>
        <v>98.406593406593402</v>
      </c>
      <c r="J557" s="2">
        <f>Tyran!D554</f>
        <v>19.409836065573771</v>
      </c>
      <c r="K557" s="2">
        <f>Fardo!D554</f>
        <v>15.704918032786885</v>
      </c>
      <c r="L557" s="2">
        <f>Entworpe!D554</f>
        <v>12.5</v>
      </c>
      <c r="M557">
        <f t="shared" si="10"/>
        <v>79</v>
      </c>
    </row>
    <row r="558" spans="1:13" x14ac:dyDescent="0.2">
      <c r="A558">
        <v>554</v>
      </c>
      <c r="B558">
        <f>Calopeia!D190</f>
        <v>95</v>
      </c>
      <c r="C558">
        <f>Sorange!B555</f>
        <v>0</v>
      </c>
      <c r="D558">
        <f>Tyran!B555</f>
        <v>0</v>
      </c>
      <c r="E558">
        <f>Fardo!B555</f>
        <v>0</v>
      </c>
      <c r="F558" s="2">
        <f>Entworpe!B555</f>
        <v>0</v>
      </c>
      <c r="G558">
        <v>1284</v>
      </c>
      <c r="H558" s="2">
        <f>Calopeia!H190</f>
        <v>67.906594503598825</v>
      </c>
      <c r="I558" s="2">
        <f>Sorange!E555</f>
        <v>98.559245102723352</v>
      </c>
      <c r="J558" s="2">
        <f>Tyran!D555</f>
        <v>19.409836065573771</v>
      </c>
      <c r="K558" s="2">
        <f>Fardo!D555</f>
        <v>15.704918032786885</v>
      </c>
      <c r="L558" s="2">
        <f>Entworpe!D555</f>
        <v>12.5</v>
      </c>
      <c r="M558">
        <f t="shared" si="10"/>
        <v>95</v>
      </c>
    </row>
    <row r="559" spans="1:13" x14ac:dyDescent="0.2">
      <c r="A559">
        <v>555</v>
      </c>
      <c r="B559">
        <f>Calopeia!D191</f>
        <v>108</v>
      </c>
      <c r="C559">
        <f>Sorange!B556</f>
        <v>0</v>
      </c>
      <c r="D559">
        <f>Tyran!B556</f>
        <v>0</v>
      </c>
      <c r="E559">
        <f>Fardo!B556</f>
        <v>0</v>
      </c>
      <c r="F559" s="2">
        <f>Entworpe!B556</f>
        <v>0</v>
      </c>
      <c r="G559">
        <v>1285</v>
      </c>
      <c r="H559" s="2">
        <f>Calopeia!H191</f>
        <v>67.906594503598825</v>
      </c>
      <c r="I559" s="2">
        <f>Sorange!E556</f>
        <v>98.711896798853317</v>
      </c>
      <c r="J559" s="2">
        <f>Tyran!D556</f>
        <v>19.409836065573771</v>
      </c>
      <c r="K559" s="2">
        <f>Fardo!D556</f>
        <v>15.704918032786885</v>
      </c>
      <c r="L559" s="2">
        <f>Entworpe!D556</f>
        <v>12.5</v>
      </c>
      <c r="M559">
        <f t="shared" si="10"/>
        <v>108</v>
      </c>
    </row>
    <row r="560" spans="1:13" x14ac:dyDescent="0.2">
      <c r="A560">
        <v>556</v>
      </c>
      <c r="B560">
        <f>Calopeia!D192</f>
        <v>61</v>
      </c>
      <c r="C560">
        <f>Sorange!B557</f>
        <v>0</v>
      </c>
      <c r="D560">
        <f>Tyran!B557</f>
        <v>0</v>
      </c>
      <c r="E560">
        <f>Fardo!B557</f>
        <v>0</v>
      </c>
      <c r="F560" s="2">
        <f>Entworpe!B557</f>
        <v>0</v>
      </c>
      <c r="G560">
        <v>1286</v>
      </c>
      <c r="H560" s="2">
        <f>Calopeia!H192</f>
        <v>67.906594503598825</v>
      </c>
      <c r="I560" s="2">
        <f>Sorange!E557</f>
        <v>98.864548494983268</v>
      </c>
      <c r="J560" s="2">
        <f>Tyran!D557</f>
        <v>19.409836065573771</v>
      </c>
      <c r="K560" s="2">
        <f>Fardo!D557</f>
        <v>15.704918032786885</v>
      </c>
      <c r="L560" s="2">
        <f>Entworpe!D557</f>
        <v>12.5</v>
      </c>
      <c r="M560">
        <f t="shared" si="10"/>
        <v>61</v>
      </c>
    </row>
    <row r="561" spans="1:13" x14ac:dyDescent="0.2">
      <c r="A561">
        <v>557</v>
      </c>
      <c r="B561">
        <f>Calopeia!D193</f>
        <v>47</v>
      </c>
      <c r="C561">
        <f>Sorange!B558</f>
        <v>0</v>
      </c>
      <c r="D561">
        <f>Tyran!B558</f>
        <v>0</v>
      </c>
      <c r="E561">
        <f>Fardo!B558</f>
        <v>0</v>
      </c>
      <c r="F561" s="2">
        <f>Entworpe!B558</f>
        <v>0</v>
      </c>
      <c r="G561">
        <v>1287</v>
      </c>
      <c r="H561" s="2">
        <f>Calopeia!H193</f>
        <v>67.906594503598825</v>
      </c>
      <c r="I561" s="2">
        <f>Sorange!E558</f>
        <v>99.017200191113233</v>
      </c>
      <c r="J561" s="2">
        <f>Tyran!D558</f>
        <v>19.409836065573771</v>
      </c>
      <c r="K561" s="2">
        <f>Fardo!D558</f>
        <v>15.704918032786885</v>
      </c>
      <c r="L561" s="2">
        <f>Entworpe!D558</f>
        <v>12.5</v>
      </c>
      <c r="M561">
        <f t="shared" si="10"/>
        <v>47</v>
      </c>
    </row>
    <row r="562" spans="1:13" x14ac:dyDescent="0.2">
      <c r="A562">
        <v>558</v>
      </c>
      <c r="B562">
        <f>Calopeia!D194</f>
        <v>73</v>
      </c>
      <c r="C562">
        <f>Sorange!B559</f>
        <v>0</v>
      </c>
      <c r="D562">
        <f>Tyran!B559</f>
        <v>0</v>
      </c>
      <c r="E562">
        <f>Fardo!B559</f>
        <v>0</v>
      </c>
      <c r="F562" s="2">
        <f>Entworpe!B559</f>
        <v>0</v>
      </c>
      <c r="G562">
        <v>1288</v>
      </c>
      <c r="H562" s="2">
        <f>Calopeia!H194</f>
        <v>67.906594503598825</v>
      </c>
      <c r="I562" s="2">
        <f>Sorange!E559</f>
        <v>99.169851887243183</v>
      </c>
      <c r="J562" s="2">
        <f>Tyran!D559</f>
        <v>19.409836065573771</v>
      </c>
      <c r="K562" s="2">
        <f>Fardo!D559</f>
        <v>15.704918032786885</v>
      </c>
      <c r="L562" s="2">
        <f>Entworpe!D559</f>
        <v>12.5</v>
      </c>
      <c r="M562">
        <f t="shared" si="10"/>
        <v>73</v>
      </c>
    </row>
    <row r="563" spans="1:13" x14ac:dyDescent="0.2">
      <c r="A563">
        <v>559</v>
      </c>
      <c r="B563">
        <f>Calopeia!D195</f>
        <v>64</v>
      </c>
      <c r="C563">
        <f>Sorange!B560</f>
        <v>0</v>
      </c>
      <c r="D563">
        <f>Tyran!B560</f>
        <v>0</v>
      </c>
      <c r="E563">
        <f>Fardo!B560</f>
        <v>0</v>
      </c>
      <c r="F563" s="2">
        <f>Entworpe!B560</f>
        <v>0</v>
      </c>
      <c r="G563">
        <v>1289</v>
      </c>
      <c r="H563" s="2">
        <f>Calopeia!H195</f>
        <v>67.906594503598825</v>
      </c>
      <c r="I563" s="2">
        <f>Sorange!E560</f>
        <v>99.322503583373134</v>
      </c>
      <c r="J563" s="2">
        <f>Tyran!D560</f>
        <v>19.409836065573771</v>
      </c>
      <c r="K563" s="2">
        <f>Fardo!D560</f>
        <v>15.704918032786885</v>
      </c>
      <c r="L563" s="2">
        <f>Entworpe!D560</f>
        <v>12.5</v>
      </c>
      <c r="M563">
        <f t="shared" si="10"/>
        <v>64</v>
      </c>
    </row>
    <row r="564" spans="1:13" x14ac:dyDescent="0.2">
      <c r="A564">
        <v>560</v>
      </c>
      <c r="B564">
        <f>Calopeia!D196</f>
        <v>45</v>
      </c>
      <c r="C564">
        <f>Sorange!B561</f>
        <v>0</v>
      </c>
      <c r="D564">
        <f>Tyran!B561</f>
        <v>0</v>
      </c>
      <c r="E564">
        <f>Fardo!B561</f>
        <v>0</v>
      </c>
      <c r="F564" s="2">
        <f>Entworpe!B561</f>
        <v>0</v>
      </c>
      <c r="G564">
        <v>1290</v>
      </c>
      <c r="H564" s="2">
        <f>Calopeia!H196</f>
        <v>67.906594503598825</v>
      </c>
      <c r="I564" s="2">
        <f>Sorange!E561</f>
        <v>99.475155279503099</v>
      </c>
      <c r="J564" s="2">
        <f>Tyran!D561</f>
        <v>19.409836065573771</v>
      </c>
      <c r="K564" s="2">
        <f>Fardo!D561</f>
        <v>15.704918032786885</v>
      </c>
      <c r="L564" s="2">
        <f>Entworpe!D561</f>
        <v>12.5</v>
      </c>
      <c r="M564">
        <f t="shared" si="10"/>
        <v>45</v>
      </c>
    </row>
    <row r="565" spans="1:13" x14ac:dyDescent="0.2">
      <c r="A565">
        <v>561</v>
      </c>
      <c r="B565">
        <f>Calopeia!D197</f>
        <v>64</v>
      </c>
      <c r="C565">
        <f>Sorange!B562</f>
        <v>0</v>
      </c>
      <c r="D565">
        <f>Tyran!B562</f>
        <v>0</v>
      </c>
      <c r="E565">
        <f>Fardo!B562</f>
        <v>0</v>
      </c>
      <c r="F565" s="2">
        <f>Entworpe!B562</f>
        <v>0</v>
      </c>
      <c r="G565">
        <v>1291</v>
      </c>
      <c r="H565" s="2">
        <f>Calopeia!H197</f>
        <v>67.906594503598825</v>
      </c>
      <c r="I565" s="2">
        <f>Sorange!E562</f>
        <v>99.62780697563305</v>
      </c>
      <c r="J565" s="2">
        <f>Tyran!D562</f>
        <v>19.409836065573771</v>
      </c>
      <c r="K565" s="2">
        <f>Fardo!D562</f>
        <v>15.704918032786885</v>
      </c>
      <c r="L565" s="2">
        <f>Entworpe!D562</f>
        <v>12.5</v>
      </c>
      <c r="M565">
        <f t="shared" si="10"/>
        <v>64</v>
      </c>
    </row>
    <row r="566" spans="1:13" x14ac:dyDescent="0.2">
      <c r="A566">
        <v>562</v>
      </c>
      <c r="B566">
        <f>Calopeia!D198</f>
        <v>74</v>
      </c>
      <c r="C566">
        <f>Sorange!B563</f>
        <v>0</v>
      </c>
      <c r="D566">
        <f>Tyran!B563</f>
        <v>0</v>
      </c>
      <c r="E566">
        <f>Fardo!B563</f>
        <v>0</v>
      </c>
      <c r="F566" s="2">
        <f>Entworpe!B563</f>
        <v>0</v>
      </c>
      <c r="G566">
        <v>1292</v>
      </c>
      <c r="H566" s="2">
        <f>Calopeia!H198</f>
        <v>67.906594503598825</v>
      </c>
      <c r="I566" s="2">
        <f>Sorange!E563</f>
        <v>99.780458671763014</v>
      </c>
      <c r="J566" s="2">
        <f>Tyran!D563</f>
        <v>19.409836065573771</v>
      </c>
      <c r="K566" s="2">
        <f>Fardo!D563</f>
        <v>15.704918032786885</v>
      </c>
      <c r="L566" s="2">
        <f>Entworpe!D563</f>
        <v>12.5</v>
      </c>
      <c r="M566">
        <f t="shared" si="10"/>
        <v>74</v>
      </c>
    </row>
    <row r="567" spans="1:13" x14ac:dyDescent="0.2">
      <c r="A567">
        <v>563</v>
      </c>
      <c r="B567">
        <f>Calopeia!D199</f>
        <v>75</v>
      </c>
      <c r="C567">
        <f>Sorange!B564</f>
        <v>0</v>
      </c>
      <c r="D567">
        <f>Tyran!B564</f>
        <v>0</v>
      </c>
      <c r="E567">
        <f>Fardo!B564</f>
        <v>0</v>
      </c>
      <c r="F567" s="2">
        <f>Entworpe!B564</f>
        <v>0</v>
      </c>
      <c r="G567">
        <v>1293</v>
      </c>
      <c r="H567" s="2">
        <f>Calopeia!H199</f>
        <v>67.906594503598825</v>
      </c>
      <c r="I567" s="2">
        <f>Sorange!E564</f>
        <v>99.933110367892965</v>
      </c>
      <c r="J567" s="2">
        <f>Tyran!D564</f>
        <v>19.409836065573771</v>
      </c>
      <c r="K567" s="2">
        <f>Fardo!D564</f>
        <v>15.704918032786885</v>
      </c>
      <c r="L567" s="2">
        <f>Entworpe!D564</f>
        <v>12.5</v>
      </c>
      <c r="M567">
        <f t="shared" si="10"/>
        <v>75</v>
      </c>
    </row>
    <row r="568" spans="1:13" x14ac:dyDescent="0.2">
      <c r="A568">
        <v>564</v>
      </c>
      <c r="B568">
        <f>Calopeia!D200</f>
        <v>59</v>
      </c>
      <c r="C568">
        <f>Sorange!B565</f>
        <v>0</v>
      </c>
      <c r="D568">
        <f>Tyran!B565</f>
        <v>0</v>
      </c>
      <c r="E568">
        <f>Fardo!B565</f>
        <v>0</v>
      </c>
      <c r="F568" s="2">
        <f>Entworpe!B565</f>
        <v>0</v>
      </c>
      <c r="G568">
        <v>1294</v>
      </c>
      <c r="H568" s="2">
        <f>Calopeia!H200</f>
        <v>67.906594503598825</v>
      </c>
      <c r="I568" s="2">
        <f>Sorange!E565</f>
        <v>100.08576206402293</v>
      </c>
      <c r="J568" s="2">
        <f>Tyran!D565</f>
        <v>19.409836065573771</v>
      </c>
      <c r="K568" s="2">
        <f>Fardo!D565</f>
        <v>15.704918032786885</v>
      </c>
      <c r="L568" s="2">
        <f>Entworpe!D565</f>
        <v>12.5</v>
      </c>
      <c r="M568">
        <f t="shared" si="10"/>
        <v>59</v>
      </c>
    </row>
    <row r="569" spans="1:13" x14ac:dyDescent="0.2">
      <c r="A569">
        <v>565</v>
      </c>
      <c r="B569">
        <f>Calopeia!D201</f>
        <v>52</v>
      </c>
      <c r="C569">
        <f>Sorange!B566</f>
        <v>0</v>
      </c>
      <c r="D569">
        <f>Tyran!B566</f>
        <v>0</v>
      </c>
      <c r="E569">
        <f>Fardo!B566</f>
        <v>0</v>
      </c>
      <c r="F569" s="2">
        <f>Entworpe!B566</f>
        <v>0</v>
      </c>
      <c r="G569">
        <v>1295</v>
      </c>
      <c r="H569" s="2">
        <f>Calopeia!H201</f>
        <v>67.906594503598825</v>
      </c>
      <c r="I569" s="2">
        <f>Sorange!E566</f>
        <v>100.23841376015288</v>
      </c>
      <c r="J569" s="2">
        <f>Tyran!D566</f>
        <v>19.409836065573771</v>
      </c>
      <c r="K569" s="2">
        <f>Fardo!D566</f>
        <v>15.704918032786885</v>
      </c>
      <c r="L569" s="2">
        <f>Entworpe!D566</f>
        <v>12.5</v>
      </c>
      <c r="M569">
        <f t="shared" si="10"/>
        <v>52</v>
      </c>
    </row>
    <row r="570" spans="1:13" x14ac:dyDescent="0.2">
      <c r="A570">
        <v>566</v>
      </c>
      <c r="B570">
        <f>Calopeia!D202</f>
        <v>71</v>
      </c>
      <c r="C570">
        <f>Sorange!B567</f>
        <v>0</v>
      </c>
      <c r="D570">
        <f>Tyran!B567</f>
        <v>0</v>
      </c>
      <c r="E570">
        <f>Fardo!B567</f>
        <v>0</v>
      </c>
      <c r="F570" s="2">
        <f>Entworpe!B567</f>
        <v>0</v>
      </c>
      <c r="G570">
        <v>1296</v>
      </c>
      <c r="H570" s="2">
        <f>Calopeia!H202</f>
        <v>67.906594503598825</v>
      </c>
      <c r="I570" s="2">
        <f>Sorange!E567</f>
        <v>100.39106545628285</v>
      </c>
      <c r="J570" s="2">
        <f>Tyran!D567</f>
        <v>19.409836065573771</v>
      </c>
      <c r="K570" s="2">
        <f>Fardo!D567</f>
        <v>15.704918032786885</v>
      </c>
      <c r="L570" s="2">
        <f>Entworpe!D567</f>
        <v>12.5</v>
      </c>
      <c r="M570">
        <f t="shared" si="10"/>
        <v>71</v>
      </c>
    </row>
    <row r="571" spans="1:13" x14ac:dyDescent="0.2">
      <c r="A571">
        <v>567</v>
      </c>
      <c r="B571">
        <f>Calopeia!D203</f>
        <v>44</v>
      </c>
      <c r="C571">
        <f>Sorange!B568</f>
        <v>0</v>
      </c>
      <c r="D571">
        <f>Tyran!B568</f>
        <v>0</v>
      </c>
      <c r="E571">
        <f>Fardo!B568</f>
        <v>0</v>
      </c>
      <c r="F571" s="2">
        <f>Entworpe!B568</f>
        <v>0</v>
      </c>
      <c r="G571">
        <v>1297</v>
      </c>
      <c r="H571" s="2">
        <f>Calopeia!H203</f>
        <v>67.906594503598825</v>
      </c>
      <c r="I571" s="2">
        <f>Sorange!E568</f>
        <v>100.5437171524128</v>
      </c>
      <c r="J571" s="2">
        <f>Tyran!D568</f>
        <v>19.409836065573771</v>
      </c>
      <c r="K571" s="2">
        <f>Fardo!D568</f>
        <v>15.704918032786885</v>
      </c>
      <c r="L571" s="2">
        <f>Entworpe!D568</f>
        <v>12.5</v>
      </c>
      <c r="M571">
        <f t="shared" si="10"/>
        <v>44</v>
      </c>
    </row>
    <row r="572" spans="1:13" x14ac:dyDescent="0.2">
      <c r="A572">
        <v>568</v>
      </c>
      <c r="B572">
        <f>Calopeia!D204</f>
        <v>59</v>
      </c>
      <c r="C572">
        <f>Sorange!B569</f>
        <v>0</v>
      </c>
      <c r="D572">
        <f>Tyran!B569</f>
        <v>0</v>
      </c>
      <c r="E572">
        <f>Fardo!B569</f>
        <v>0</v>
      </c>
      <c r="F572" s="2">
        <f>Entworpe!B569</f>
        <v>0</v>
      </c>
      <c r="G572">
        <v>1298</v>
      </c>
      <c r="H572" s="2">
        <f>Calopeia!H204</f>
        <v>67.906594503598825</v>
      </c>
      <c r="I572" s="2">
        <f>Sorange!E569</f>
        <v>100.69636884854275</v>
      </c>
      <c r="J572" s="2">
        <f>Tyran!D569</f>
        <v>19.409836065573771</v>
      </c>
      <c r="K572" s="2">
        <f>Fardo!D569</f>
        <v>15.704918032786885</v>
      </c>
      <c r="L572" s="2">
        <f>Entworpe!D569</f>
        <v>12.5</v>
      </c>
      <c r="M572">
        <f t="shared" si="10"/>
        <v>59</v>
      </c>
    </row>
    <row r="573" spans="1:13" x14ac:dyDescent="0.2">
      <c r="A573">
        <v>569</v>
      </c>
      <c r="B573">
        <f>Calopeia!D205</f>
        <v>48</v>
      </c>
      <c r="C573">
        <f>Sorange!B570</f>
        <v>0</v>
      </c>
      <c r="D573">
        <f>Tyran!B570</f>
        <v>0</v>
      </c>
      <c r="E573">
        <f>Fardo!B570</f>
        <v>0</v>
      </c>
      <c r="F573" s="2">
        <f>Entworpe!B570</f>
        <v>0</v>
      </c>
      <c r="G573">
        <v>1299</v>
      </c>
      <c r="H573" s="2">
        <f>Calopeia!H205</f>
        <v>67.906594503598825</v>
      </c>
      <c r="I573" s="2">
        <f>Sorange!E570</f>
        <v>100.84902054467271</v>
      </c>
      <c r="J573" s="2">
        <f>Tyran!D570</f>
        <v>19.409836065573771</v>
      </c>
      <c r="K573" s="2">
        <f>Fardo!D570</f>
        <v>15.704918032786885</v>
      </c>
      <c r="L573" s="2">
        <f>Entworpe!D570</f>
        <v>12.5</v>
      </c>
      <c r="M573">
        <f t="shared" si="10"/>
        <v>48</v>
      </c>
    </row>
    <row r="574" spans="1:13" x14ac:dyDescent="0.2">
      <c r="A574">
        <v>570</v>
      </c>
      <c r="B574">
        <f>Calopeia!D206</f>
        <v>76</v>
      </c>
      <c r="C574">
        <f>Sorange!B571</f>
        <v>0</v>
      </c>
      <c r="D574">
        <f>Tyran!B571</f>
        <v>0</v>
      </c>
      <c r="E574">
        <f>Fardo!B571</f>
        <v>0</v>
      </c>
      <c r="F574" s="2">
        <f>Entworpe!B571</f>
        <v>0</v>
      </c>
      <c r="G574">
        <v>1300</v>
      </c>
      <c r="H574" s="2">
        <f>Calopeia!H206</f>
        <v>67.906594503598825</v>
      </c>
      <c r="I574" s="2">
        <f>Sorange!E571</f>
        <v>101.00167224080266</v>
      </c>
      <c r="J574" s="2">
        <f>Tyran!D571</f>
        <v>19.409836065573771</v>
      </c>
      <c r="K574" s="2">
        <f>Fardo!D571</f>
        <v>15.704918032786885</v>
      </c>
      <c r="L574" s="2">
        <f>Entworpe!D571</f>
        <v>12.5</v>
      </c>
      <c r="M574">
        <f t="shared" si="10"/>
        <v>76</v>
      </c>
    </row>
    <row r="575" spans="1:13" x14ac:dyDescent="0.2">
      <c r="A575">
        <v>571</v>
      </c>
      <c r="B575">
        <f>Calopeia!D207</f>
        <v>62</v>
      </c>
      <c r="C575">
        <f>Sorange!B572</f>
        <v>0</v>
      </c>
      <c r="D575">
        <f>Tyran!B572</f>
        <v>0</v>
      </c>
      <c r="E575">
        <f>Fardo!B572</f>
        <v>0</v>
      </c>
      <c r="F575" s="2">
        <f>Entworpe!B572</f>
        <v>0</v>
      </c>
      <c r="G575">
        <v>1301</v>
      </c>
      <c r="H575" s="2">
        <f>Calopeia!H207</f>
        <v>67.906594503598825</v>
      </c>
      <c r="I575" s="2">
        <f>Sorange!E572</f>
        <v>101.15432393693263</v>
      </c>
      <c r="J575" s="2">
        <f>Tyran!D572</f>
        <v>19.409836065573771</v>
      </c>
      <c r="K575" s="2">
        <f>Fardo!D572</f>
        <v>15.704918032786885</v>
      </c>
      <c r="L575" s="2">
        <f>Entworpe!D572</f>
        <v>12.5</v>
      </c>
      <c r="M575">
        <f t="shared" si="10"/>
        <v>62</v>
      </c>
    </row>
    <row r="576" spans="1:13" x14ac:dyDescent="0.2">
      <c r="A576">
        <v>572</v>
      </c>
      <c r="B576">
        <f>Calopeia!D208</f>
        <v>41</v>
      </c>
      <c r="C576">
        <f>Sorange!B573</f>
        <v>0</v>
      </c>
      <c r="D576">
        <f>Tyran!B573</f>
        <v>0</v>
      </c>
      <c r="E576">
        <f>Fardo!B573</f>
        <v>0</v>
      </c>
      <c r="F576" s="2">
        <f>Entworpe!B573</f>
        <v>0</v>
      </c>
      <c r="G576">
        <v>1302</v>
      </c>
      <c r="H576" s="2">
        <f>Calopeia!H208</f>
        <v>67.906594503598825</v>
      </c>
      <c r="I576" s="2">
        <f>Sorange!E573</f>
        <v>101.30697563306258</v>
      </c>
      <c r="J576" s="2">
        <f>Tyran!D573</f>
        <v>19.409836065573771</v>
      </c>
      <c r="K576" s="2">
        <f>Fardo!D573</f>
        <v>15.704918032786885</v>
      </c>
      <c r="L576" s="2">
        <f>Entworpe!D573</f>
        <v>12.5</v>
      </c>
      <c r="M576">
        <f t="shared" si="10"/>
        <v>41</v>
      </c>
    </row>
    <row r="577" spans="1:13" x14ac:dyDescent="0.2">
      <c r="A577">
        <v>573</v>
      </c>
      <c r="B577">
        <f>Calopeia!D209</f>
        <v>49</v>
      </c>
      <c r="C577">
        <f>Sorange!B574</f>
        <v>0</v>
      </c>
      <c r="D577">
        <f>Tyran!B574</f>
        <v>0</v>
      </c>
      <c r="E577">
        <f>Fardo!B574</f>
        <v>0</v>
      </c>
      <c r="F577" s="2">
        <f>Entworpe!B574</f>
        <v>0</v>
      </c>
      <c r="G577">
        <v>1303</v>
      </c>
      <c r="H577" s="2">
        <f>Calopeia!H209</f>
        <v>67.906594503598825</v>
      </c>
      <c r="I577" s="2">
        <f>Sorange!E574</f>
        <v>101.45962732919254</v>
      </c>
      <c r="J577" s="2">
        <f>Tyran!D574</f>
        <v>19.409836065573771</v>
      </c>
      <c r="K577" s="2">
        <f>Fardo!D574</f>
        <v>15.704918032786885</v>
      </c>
      <c r="L577" s="2">
        <f>Entworpe!D574</f>
        <v>12.5</v>
      </c>
      <c r="M577">
        <f t="shared" si="10"/>
        <v>49</v>
      </c>
    </row>
    <row r="578" spans="1:13" x14ac:dyDescent="0.2">
      <c r="A578">
        <v>574</v>
      </c>
      <c r="B578">
        <f>Calopeia!D210</f>
        <v>72</v>
      </c>
      <c r="C578">
        <f>Sorange!B575</f>
        <v>0</v>
      </c>
      <c r="D578">
        <f>Tyran!B575</f>
        <v>0</v>
      </c>
      <c r="E578">
        <f>Fardo!B575</f>
        <v>0</v>
      </c>
      <c r="F578" s="2">
        <f>Entworpe!B575</f>
        <v>0</v>
      </c>
      <c r="G578">
        <v>1304</v>
      </c>
      <c r="H578" s="2">
        <f>Calopeia!H210</f>
        <v>67.906594503598825</v>
      </c>
      <c r="I578" s="2">
        <f>Sorange!E575</f>
        <v>101.61227902532249</v>
      </c>
      <c r="J578" s="2">
        <f>Tyran!D575</f>
        <v>19.409836065573771</v>
      </c>
      <c r="K578" s="2">
        <f>Fardo!D575</f>
        <v>15.704918032786885</v>
      </c>
      <c r="L578" s="2">
        <f>Entworpe!D575</f>
        <v>12.5</v>
      </c>
      <c r="M578">
        <f t="shared" si="10"/>
        <v>72</v>
      </c>
    </row>
    <row r="579" spans="1:13" x14ac:dyDescent="0.2">
      <c r="A579">
        <v>575</v>
      </c>
      <c r="B579">
        <f>Calopeia!D211</f>
        <v>81</v>
      </c>
      <c r="C579">
        <f>Sorange!B576</f>
        <v>0</v>
      </c>
      <c r="D579">
        <f>Tyran!B576</f>
        <v>0</v>
      </c>
      <c r="E579">
        <f>Fardo!B576</f>
        <v>0</v>
      </c>
      <c r="F579" s="2">
        <f>Entworpe!B576</f>
        <v>0</v>
      </c>
      <c r="G579">
        <v>1305</v>
      </c>
      <c r="H579" s="2">
        <f>Calopeia!H211</f>
        <v>67.906594503598825</v>
      </c>
      <c r="I579" s="2">
        <f>Sorange!E576</f>
        <v>101.76493072145246</v>
      </c>
      <c r="J579" s="2">
        <f>Tyran!D576</f>
        <v>19.409836065573771</v>
      </c>
      <c r="K579" s="2">
        <f>Fardo!D576</f>
        <v>15.704918032786885</v>
      </c>
      <c r="L579" s="2">
        <f>Entworpe!D576</f>
        <v>12.5</v>
      </c>
      <c r="M579">
        <f t="shared" si="10"/>
        <v>81</v>
      </c>
    </row>
    <row r="580" spans="1:13" x14ac:dyDescent="0.2">
      <c r="A580">
        <v>576</v>
      </c>
      <c r="B580">
        <f>Calopeia!D212</f>
        <v>101</v>
      </c>
      <c r="C580">
        <f>Sorange!B577</f>
        <v>0</v>
      </c>
      <c r="D580">
        <f>Tyran!B577</f>
        <v>0</v>
      </c>
      <c r="E580">
        <f>Fardo!B577</f>
        <v>0</v>
      </c>
      <c r="F580" s="2">
        <f>Entworpe!B577</f>
        <v>0</v>
      </c>
      <c r="G580">
        <v>1306</v>
      </c>
      <c r="H580" s="2">
        <f>Calopeia!H212</f>
        <v>67.906594503598825</v>
      </c>
      <c r="I580" s="2">
        <f>Sorange!E577</f>
        <v>101.91758241758241</v>
      </c>
      <c r="J580" s="2">
        <f>Tyran!D577</f>
        <v>19.409836065573771</v>
      </c>
      <c r="K580" s="2">
        <f>Fardo!D577</f>
        <v>15.704918032786885</v>
      </c>
      <c r="L580" s="2">
        <f>Entworpe!D577</f>
        <v>12.5</v>
      </c>
      <c r="M580">
        <f t="shared" si="10"/>
        <v>101</v>
      </c>
    </row>
    <row r="581" spans="1:13" x14ac:dyDescent="0.2">
      <c r="A581">
        <v>577</v>
      </c>
      <c r="B581">
        <f>Calopeia!D213</f>
        <v>103</v>
      </c>
      <c r="C581">
        <f>Sorange!B578</f>
        <v>0</v>
      </c>
      <c r="D581">
        <f>Tyran!B578</f>
        <v>0</v>
      </c>
      <c r="E581">
        <f>Fardo!B578</f>
        <v>0</v>
      </c>
      <c r="F581" s="2">
        <f>Entworpe!B578</f>
        <v>0</v>
      </c>
      <c r="G581">
        <v>1307</v>
      </c>
      <c r="H581" s="2">
        <f>Calopeia!H213</f>
        <v>67.906594503598825</v>
      </c>
      <c r="I581" s="2">
        <f>Sorange!E578</f>
        <v>102.07023411371236</v>
      </c>
      <c r="J581" s="2">
        <f>Tyran!D578</f>
        <v>19.409836065573771</v>
      </c>
      <c r="K581" s="2">
        <f>Fardo!D578</f>
        <v>15.704918032786885</v>
      </c>
      <c r="L581" s="2">
        <f>Entworpe!D578</f>
        <v>12.5</v>
      </c>
      <c r="M581">
        <f t="shared" si="10"/>
        <v>103</v>
      </c>
    </row>
    <row r="582" spans="1:13" x14ac:dyDescent="0.2">
      <c r="A582">
        <v>578</v>
      </c>
      <c r="B582">
        <f>Calopeia!D214</f>
        <v>35</v>
      </c>
      <c r="C582">
        <f>Sorange!B579</f>
        <v>0</v>
      </c>
      <c r="D582">
        <f>Tyran!B579</f>
        <v>0</v>
      </c>
      <c r="E582">
        <f>Fardo!B579</f>
        <v>0</v>
      </c>
      <c r="F582" s="2">
        <f>Entworpe!B579</f>
        <v>0</v>
      </c>
      <c r="G582">
        <v>1308</v>
      </c>
      <c r="H582" s="2">
        <f>Calopeia!H214</f>
        <v>67.906594503598825</v>
      </c>
      <c r="I582" s="2">
        <f>Sorange!E579</f>
        <v>102.22288580984232</v>
      </c>
      <c r="J582" s="2">
        <f>Tyran!D579</f>
        <v>19.409836065573771</v>
      </c>
      <c r="K582" s="2">
        <f>Fardo!D579</f>
        <v>15.704918032786885</v>
      </c>
      <c r="L582" s="2">
        <f>Entworpe!D579</f>
        <v>12.5</v>
      </c>
      <c r="M582">
        <f t="shared" ref="M582:M645" si="11">B582+F582</f>
        <v>35</v>
      </c>
    </row>
    <row r="583" spans="1:13" x14ac:dyDescent="0.2">
      <c r="A583">
        <v>579</v>
      </c>
      <c r="B583">
        <f>Calopeia!D215</f>
        <v>96</v>
      </c>
      <c r="C583">
        <f>Sorange!B580</f>
        <v>0</v>
      </c>
      <c r="D583">
        <f>Tyran!B580</f>
        <v>0</v>
      </c>
      <c r="E583">
        <f>Fardo!B580</f>
        <v>0</v>
      </c>
      <c r="F583" s="2">
        <f>Entworpe!B580</f>
        <v>0</v>
      </c>
      <c r="G583">
        <v>1309</v>
      </c>
      <c r="H583" s="2">
        <f>Calopeia!H215</f>
        <v>67.906594503598825</v>
      </c>
      <c r="I583" s="2">
        <f>Sorange!E580</f>
        <v>102.37553750597228</v>
      </c>
      <c r="J583" s="2">
        <f>Tyran!D580</f>
        <v>19.409836065573771</v>
      </c>
      <c r="K583" s="2">
        <f>Fardo!D580</f>
        <v>15.704918032786885</v>
      </c>
      <c r="L583" s="2">
        <f>Entworpe!D580</f>
        <v>12.5</v>
      </c>
      <c r="M583">
        <f t="shared" si="11"/>
        <v>96</v>
      </c>
    </row>
    <row r="584" spans="1:13" x14ac:dyDescent="0.2">
      <c r="A584">
        <v>580</v>
      </c>
      <c r="B584">
        <f>Calopeia!D216</f>
        <v>77</v>
      </c>
      <c r="C584">
        <f>Sorange!B581</f>
        <v>0</v>
      </c>
      <c r="D584">
        <f>Tyran!B581</f>
        <v>0</v>
      </c>
      <c r="E584">
        <f>Fardo!B581</f>
        <v>0</v>
      </c>
      <c r="F584" s="2">
        <f>Entworpe!B581</f>
        <v>0</v>
      </c>
      <c r="G584">
        <v>1310</v>
      </c>
      <c r="H584" s="2">
        <f>Calopeia!H216</f>
        <v>67.906594503598825</v>
      </c>
      <c r="I584" s="2">
        <f>Sorange!E581</f>
        <v>102.52818920210224</v>
      </c>
      <c r="J584" s="2">
        <f>Tyran!D581</f>
        <v>19.409836065573771</v>
      </c>
      <c r="K584" s="2">
        <f>Fardo!D581</f>
        <v>15.704918032786885</v>
      </c>
      <c r="L584" s="2">
        <f>Entworpe!D581</f>
        <v>12.5</v>
      </c>
      <c r="M584">
        <f t="shared" si="11"/>
        <v>77</v>
      </c>
    </row>
    <row r="585" spans="1:13" x14ac:dyDescent="0.2">
      <c r="A585">
        <v>581</v>
      </c>
      <c r="B585">
        <f>Calopeia!D217</f>
        <v>57</v>
      </c>
      <c r="C585">
        <f>Sorange!B582</f>
        <v>0</v>
      </c>
      <c r="D585">
        <f>Tyran!B582</f>
        <v>0</v>
      </c>
      <c r="E585">
        <f>Fardo!B582</f>
        <v>0</v>
      </c>
      <c r="F585" s="2">
        <f>Entworpe!B582</f>
        <v>0</v>
      </c>
      <c r="G585">
        <v>1311</v>
      </c>
      <c r="H585" s="2">
        <f>Calopeia!H217</f>
        <v>67.906594503598825</v>
      </c>
      <c r="I585" s="2">
        <f>Sorange!E582</f>
        <v>102.68084089823219</v>
      </c>
      <c r="J585" s="2">
        <f>Tyran!D582</f>
        <v>19.409836065573771</v>
      </c>
      <c r="K585" s="2">
        <f>Fardo!D582</f>
        <v>15.704918032786885</v>
      </c>
      <c r="L585" s="2">
        <f>Entworpe!D582</f>
        <v>12.5</v>
      </c>
      <c r="M585">
        <f t="shared" si="11"/>
        <v>57</v>
      </c>
    </row>
    <row r="586" spans="1:13" x14ac:dyDescent="0.2">
      <c r="A586">
        <v>582</v>
      </c>
      <c r="B586">
        <f>Calopeia!D218</f>
        <v>81</v>
      </c>
      <c r="C586">
        <f>Sorange!B583</f>
        <v>0</v>
      </c>
      <c r="D586">
        <f>Tyran!B583</f>
        <v>0</v>
      </c>
      <c r="E586">
        <f>Fardo!B583</f>
        <v>0</v>
      </c>
      <c r="F586" s="2">
        <f>Entworpe!B583</f>
        <v>0</v>
      </c>
      <c r="G586">
        <v>1312</v>
      </c>
      <c r="H586" s="2">
        <f>Calopeia!H218</f>
        <v>67.906594503598825</v>
      </c>
      <c r="I586" s="2">
        <f>Sorange!E583</f>
        <v>102.83349259436216</v>
      </c>
      <c r="J586" s="2">
        <f>Tyran!D583</f>
        <v>19.409836065573771</v>
      </c>
      <c r="K586" s="2">
        <f>Fardo!D583</f>
        <v>15.704918032786885</v>
      </c>
      <c r="L586" s="2">
        <f>Entworpe!D583</f>
        <v>12.5</v>
      </c>
      <c r="M586">
        <f t="shared" si="11"/>
        <v>81</v>
      </c>
    </row>
    <row r="587" spans="1:13" x14ac:dyDescent="0.2">
      <c r="A587">
        <v>583</v>
      </c>
      <c r="B587">
        <f>Calopeia!D219</f>
        <v>74</v>
      </c>
      <c r="C587">
        <f>Sorange!B584</f>
        <v>0</v>
      </c>
      <c r="D587">
        <f>Tyran!B584</f>
        <v>0</v>
      </c>
      <c r="E587">
        <f>Fardo!B584</f>
        <v>0</v>
      </c>
      <c r="F587" s="2">
        <f>Entworpe!B584</f>
        <v>0</v>
      </c>
      <c r="G587">
        <v>1313</v>
      </c>
      <c r="H587" s="2">
        <f>Calopeia!H219</f>
        <v>67.906594503598825</v>
      </c>
      <c r="I587" s="2">
        <f>Sorange!E584</f>
        <v>102.98614429049211</v>
      </c>
      <c r="J587" s="2">
        <f>Tyran!D584</f>
        <v>19.409836065573771</v>
      </c>
      <c r="K587" s="2">
        <f>Fardo!D584</f>
        <v>15.704918032786885</v>
      </c>
      <c r="L587" s="2">
        <f>Entworpe!D584</f>
        <v>12.5</v>
      </c>
      <c r="M587">
        <f t="shared" si="11"/>
        <v>74</v>
      </c>
    </row>
    <row r="588" spans="1:13" x14ac:dyDescent="0.2">
      <c r="A588">
        <v>584</v>
      </c>
      <c r="B588">
        <f>Calopeia!D220</f>
        <v>52</v>
      </c>
      <c r="C588">
        <f>Sorange!B585</f>
        <v>0</v>
      </c>
      <c r="D588">
        <f>Tyran!B585</f>
        <v>0</v>
      </c>
      <c r="E588">
        <f>Fardo!B585</f>
        <v>0</v>
      </c>
      <c r="F588" s="2">
        <f>Entworpe!B585</f>
        <v>0</v>
      </c>
      <c r="G588">
        <v>1314</v>
      </c>
      <c r="H588" s="2">
        <f>Calopeia!H220</f>
        <v>67.906594503598825</v>
      </c>
      <c r="I588" s="2">
        <f>Sorange!E585</f>
        <v>103.13879598662207</v>
      </c>
      <c r="J588" s="2">
        <f>Tyran!D585</f>
        <v>19.409836065573771</v>
      </c>
      <c r="K588" s="2">
        <f>Fardo!D585</f>
        <v>15.704918032786885</v>
      </c>
      <c r="L588" s="2">
        <f>Entworpe!D585</f>
        <v>12.5</v>
      </c>
      <c r="M588">
        <f t="shared" si="11"/>
        <v>52</v>
      </c>
    </row>
    <row r="589" spans="1:13" x14ac:dyDescent="0.2">
      <c r="A589">
        <v>585</v>
      </c>
      <c r="B589">
        <f>Calopeia!D221</f>
        <v>73</v>
      </c>
      <c r="C589">
        <f>Sorange!B586</f>
        <v>0</v>
      </c>
      <c r="D589">
        <f>Tyran!B586</f>
        <v>0</v>
      </c>
      <c r="E589">
        <f>Fardo!B586</f>
        <v>0</v>
      </c>
      <c r="F589" s="2">
        <f>Entworpe!B586</f>
        <v>0</v>
      </c>
      <c r="G589">
        <v>1315</v>
      </c>
      <c r="H589" s="2">
        <f>Calopeia!H221</f>
        <v>48.252086681863425</v>
      </c>
      <c r="I589" s="2">
        <f>Sorange!E586</f>
        <v>103.29144768275202</v>
      </c>
      <c r="J589" s="2">
        <f>Tyran!D586</f>
        <v>19.409836065573771</v>
      </c>
      <c r="K589" s="2">
        <f>Fardo!D586</f>
        <v>15.704918032786885</v>
      </c>
      <c r="L589" s="2">
        <f>Entworpe!D586</f>
        <v>12.5</v>
      </c>
      <c r="M589">
        <f t="shared" si="11"/>
        <v>73</v>
      </c>
    </row>
    <row r="590" spans="1:13" x14ac:dyDescent="0.2">
      <c r="A590">
        <v>586</v>
      </c>
      <c r="B590">
        <f>Calopeia!D222</f>
        <v>58</v>
      </c>
      <c r="C590">
        <f>Sorange!B587</f>
        <v>0</v>
      </c>
      <c r="D590">
        <f>Tyran!B587</f>
        <v>0</v>
      </c>
      <c r="E590">
        <f>Fardo!B587</f>
        <v>0</v>
      </c>
      <c r="F590" s="2">
        <f>Entworpe!B587</f>
        <v>0</v>
      </c>
      <c r="G590">
        <v>1316</v>
      </c>
      <c r="H590" s="2">
        <f>Calopeia!H222</f>
        <v>48.252086681863425</v>
      </c>
      <c r="I590" s="2">
        <f>Sorange!E587</f>
        <v>103.44409937888197</v>
      </c>
      <c r="J590" s="2">
        <f>Tyran!D587</f>
        <v>19.409836065573771</v>
      </c>
      <c r="K590" s="2">
        <f>Fardo!D587</f>
        <v>15.704918032786885</v>
      </c>
      <c r="L590" s="2">
        <f>Entworpe!D587</f>
        <v>12.5</v>
      </c>
      <c r="M590">
        <f t="shared" si="11"/>
        <v>58</v>
      </c>
    </row>
    <row r="591" spans="1:13" x14ac:dyDescent="0.2">
      <c r="A591">
        <v>587</v>
      </c>
      <c r="B591">
        <f>Calopeia!D223</f>
        <v>93</v>
      </c>
      <c r="C591">
        <f>Sorange!B588</f>
        <v>0</v>
      </c>
      <c r="D591">
        <f>Tyran!B588</f>
        <v>0</v>
      </c>
      <c r="E591">
        <f>Fardo!B588</f>
        <v>0</v>
      </c>
      <c r="F591" s="2">
        <f>Entworpe!B588</f>
        <v>0</v>
      </c>
      <c r="G591">
        <v>1317</v>
      </c>
      <c r="H591" s="2">
        <f>Calopeia!H223</f>
        <v>48.252086681863425</v>
      </c>
      <c r="I591" s="2">
        <f>Sorange!E588</f>
        <v>103.59675107501194</v>
      </c>
      <c r="J591" s="2">
        <f>Tyran!D588</f>
        <v>19.409836065573771</v>
      </c>
      <c r="K591" s="2">
        <f>Fardo!D588</f>
        <v>15.704918032786885</v>
      </c>
      <c r="L591" s="2">
        <f>Entworpe!D588</f>
        <v>12.5</v>
      </c>
      <c r="M591">
        <f t="shared" si="11"/>
        <v>93</v>
      </c>
    </row>
    <row r="592" spans="1:13" x14ac:dyDescent="0.2">
      <c r="A592">
        <v>588</v>
      </c>
      <c r="B592">
        <f>Calopeia!D224</f>
        <v>33</v>
      </c>
      <c r="C592">
        <f>Sorange!B589</f>
        <v>0</v>
      </c>
      <c r="D592">
        <f>Tyran!B589</f>
        <v>0</v>
      </c>
      <c r="E592">
        <f>Fardo!B589</f>
        <v>0</v>
      </c>
      <c r="F592" s="2">
        <f>Entworpe!B589</f>
        <v>0</v>
      </c>
      <c r="G592">
        <v>1318</v>
      </c>
      <c r="H592" s="2">
        <f>Calopeia!H224</f>
        <v>48.252086681863425</v>
      </c>
      <c r="I592" s="2">
        <f>Sorange!E589</f>
        <v>103.74940277114189</v>
      </c>
      <c r="J592" s="2">
        <f>Tyran!D589</f>
        <v>19.409836065573771</v>
      </c>
      <c r="K592" s="2">
        <f>Fardo!D589</f>
        <v>15.704918032786885</v>
      </c>
      <c r="L592" s="2">
        <f>Entworpe!D589</f>
        <v>12.5</v>
      </c>
      <c r="M592">
        <f t="shared" si="11"/>
        <v>33</v>
      </c>
    </row>
    <row r="593" spans="1:13" x14ac:dyDescent="0.2">
      <c r="A593">
        <v>589</v>
      </c>
      <c r="B593">
        <f>Calopeia!D225</f>
        <v>42</v>
      </c>
      <c r="C593">
        <f>Sorange!B590</f>
        <v>0</v>
      </c>
      <c r="D593">
        <f>Tyran!B590</f>
        <v>0</v>
      </c>
      <c r="E593">
        <f>Fardo!B590</f>
        <v>0</v>
      </c>
      <c r="F593" s="2">
        <f>Entworpe!B590</f>
        <v>0</v>
      </c>
      <c r="G593">
        <v>1319</v>
      </c>
      <c r="H593" s="2">
        <f>Calopeia!H225</f>
        <v>48.252086681863425</v>
      </c>
      <c r="I593" s="2">
        <f>Sorange!E590</f>
        <v>103.90205446727185</v>
      </c>
      <c r="J593" s="2">
        <f>Tyran!D590</f>
        <v>19.409836065573771</v>
      </c>
      <c r="K593" s="2">
        <f>Fardo!D590</f>
        <v>15.704918032786885</v>
      </c>
      <c r="L593" s="2">
        <f>Entworpe!D590</f>
        <v>12.5</v>
      </c>
      <c r="M593">
        <f t="shared" si="11"/>
        <v>42</v>
      </c>
    </row>
    <row r="594" spans="1:13" x14ac:dyDescent="0.2">
      <c r="A594">
        <v>590</v>
      </c>
      <c r="B594">
        <f>Calopeia!D226</f>
        <v>59</v>
      </c>
      <c r="C594">
        <f>Sorange!B591</f>
        <v>0</v>
      </c>
      <c r="D594">
        <f>Tyran!B591</f>
        <v>0</v>
      </c>
      <c r="E594">
        <f>Fardo!B591</f>
        <v>0</v>
      </c>
      <c r="F594" s="2">
        <f>Entworpe!B591</f>
        <v>0</v>
      </c>
      <c r="G594">
        <v>1320</v>
      </c>
      <c r="H594" s="2">
        <f>Calopeia!H226</f>
        <v>48.252086681863425</v>
      </c>
      <c r="I594" s="2">
        <f>Sorange!E591</f>
        <v>104.0547061634018</v>
      </c>
      <c r="J594" s="2">
        <f>Tyran!D591</f>
        <v>19.409836065573771</v>
      </c>
      <c r="K594" s="2">
        <f>Fardo!D591</f>
        <v>15.704918032786885</v>
      </c>
      <c r="L594" s="2">
        <f>Entworpe!D591</f>
        <v>12.5</v>
      </c>
      <c r="M594">
        <f t="shared" si="11"/>
        <v>59</v>
      </c>
    </row>
    <row r="595" spans="1:13" x14ac:dyDescent="0.2">
      <c r="A595">
        <v>591</v>
      </c>
      <c r="B595">
        <f>Calopeia!D227</f>
        <v>75</v>
      </c>
      <c r="C595">
        <f>Sorange!B592</f>
        <v>0</v>
      </c>
      <c r="D595">
        <f>Tyran!B592</f>
        <v>0</v>
      </c>
      <c r="E595">
        <f>Fardo!B592</f>
        <v>0</v>
      </c>
      <c r="F595" s="2">
        <f>Entworpe!B592</f>
        <v>0</v>
      </c>
      <c r="G595">
        <v>1321</v>
      </c>
      <c r="H595" s="2">
        <f>Calopeia!H227</f>
        <v>48.252086681863425</v>
      </c>
      <c r="I595" s="2">
        <f>Sorange!E592</f>
        <v>104.20735785953177</v>
      </c>
      <c r="J595" s="2">
        <f>Tyran!D592</f>
        <v>19.409836065573771</v>
      </c>
      <c r="K595" s="2">
        <f>Fardo!D592</f>
        <v>15.704918032786885</v>
      </c>
      <c r="L595" s="2">
        <f>Entworpe!D592</f>
        <v>12.5</v>
      </c>
      <c r="M595">
        <f t="shared" si="11"/>
        <v>75</v>
      </c>
    </row>
    <row r="596" spans="1:13" x14ac:dyDescent="0.2">
      <c r="A596">
        <v>592</v>
      </c>
      <c r="B596">
        <f>Calopeia!D228</f>
        <v>34</v>
      </c>
      <c r="C596">
        <f>Sorange!B593</f>
        <v>0</v>
      </c>
      <c r="D596">
        <f>Tyran!B593</f>
        <v>0</v>
      </c>
      <c r="E596">
        <f>Fardo!B593</f>
        <v>0</v>
      </c>
      <c r="F596" s="2">
        <f>Entworpe!B593</f>
        <v>0</v>
      </c>
      <c r="G596">
        <v>1322</v>
      </c>
      <c r="H596" s="2">
        <f>Calopeia!H228</f>
        <v>48.252086681863425</v>
      </c>
      <c r="I596" s="2">
        <f>Sorange!E593</f>
        <v>104.36000955566172</v>
      </c>
      <c r="J596" s="2">
        <f>Tyran!D593</f>
        <v>19.409836065573771</v>
      </c>
      <c r="K596" s="2">
        <f>Fardo!D593</f>
        <v>15.704918032786885</v>
      </c>
      <c r="L596" s="2">
        <f>Entworpe!D593</f>
        <v>12.5</v>
      </c>
      <c r="M596">
        <f t="shared" si="11"/>
        <v>34</v>
      </c>
    </row>
    <row r="597" spans="1:13" x14ac:dyDescent="0.2">
      <c r="A597">
        <v>593</v>
      </c>
      <c r="B597">
        <f>Calopeia!D229</f>
        <v>77</v>
      </c>
      <c r="C597">
        <f>Sorange!B594</f>
        <v>0</v>
      </c>
      <c r="D597">
        <f>Tyran!B594</f>
        <v>0</v>
      </c>
      <c r="E597">
        <f>Fardo!B594</f>
        <v>0</v>
      </c>
      <c r="F597" s="2">
        <f>Entworpe!B594</f>
        <v>0</v>
      </c>
      <c r="G597">
        <v>1323</v>
      </c>
      <c r="H597" s="2">
        <f>Calopeia!H229</f>
        <v>48.252086681863425</v>
      </c>
      <c r="I597" s="2">
        <f>Sorange!E594</f>
        <v>104.51266125179168</v>
      </c>
      <c r="J597" s="2">
        <f>Tyran!D594</f>
        <v>19.409836065573771</v>
      </c>
      <c r="K597" s="2">
        <f>Fardo!D594</f>
        <v>15.704918032786885</v>
      </c>
      <c r="L597" s="2">
        <f>Entworpe!D594</f>
        <v>12.5</v>
      </c>
      <c r="M597">
        <f t="shared" si="11"/>
        <v>77</v>
      </c>
    </row>
    <row r="598" spans="1:13" x14ac:dyDescent="0.2">
      <c r="A598">
        <v>594</v>
      </c>
      <c r="B598">
        <f>Calopeia!D230</f>
        <v>64</v>
      </c>
      <c r="C598">
        <f>Sorange!B595</f>
        <v>0</v>
      </c>
      <c r="D598">
        <f>Tyran!B595</f>
        <v>0</v>
      </c>
      <c r="E598">
        <f>Fardo!B595</f>
        <v>0</v>
      </c>
      <c r="F598" s="2">
        <f>Entworpe!B595</f>
        <v>0</v>
      </c>
      <c r="G598">
        <v>1324</v>
      </c>
      <c r="H598" s="2">
        <f>Calopeia!H230</f>
        <v>48.252086681863425</v>
      </c>
      <c r="I598" s="2">
        <f>Sorange!E595</f>
        <v>104.66531294792163</v>
      </c>
      <c r="J598" s="2">
        <f>Tyran!D595</f>
        <v>19.409836065573771</v>
      </c>
      <c r="K598" s="2">
        <f>Fardo!D595</f>
        <v>15.704918032786885</v>
      </c>
      <c r="L598" s="2">
        <f>Entworpe!D595</f>
        <v>12.5</v>
      </c>
      <c r="M598">
        <f t="shared" si="11"/>
        <v>64</v>
      </c>
    </row>
    <row r="599" spans="1:13" x14ac:dyDescent="0.2">
      <c r="A599">
        <v>595</v>
      </c>
      <c r="B599">
        <f>Calopeia!D231</f>
        <v>57</v>
      </c>
      <c r="C599">
        <f>Sorange!B596</f>
        <v>0</v>
      </c>
      <c r="D599">
        <f>Tyran!B596</f>
        <v>0</v>
      </c>
      <c r="E599">
        <f>Fardo!B596</f>
        <v>0</v>
      </c>
      <c r="F599" s="2">
        <f>Entworpe!B596</f>
        <v>0</v>
      </c>
      <c r="G599">
        <v>1325</v>
      </c>
      <c r="H599" s="2">
        <f>Calopeia!H231</f>
        <v>48.252086681863425</v>
      </c>
      <c r="I599" s="2">
        <f>Sorange!E596</f>
        <v>104.81796464405159</v>
      </c>
      <c r="J599" s="2">
        <f>Tyran!D596</f>
        <v>19.409836065573771</v>
      </c>
      <c r="K599" s="2">
        <f>Fardo!D596</f>
        <v>15.704918032786885</v>
      </c>
      <c r="L599" s="2">
        <f>Entworpe!D596</f>
        <v>12.5</v>
      </c>
      <c r="M599">
        <f t="shared" si="11"/>
        <v>57</v>
      </c>
    </row>
    <row r="600" spans="1:13" x14ac:dyDescent="0.2">
      <c r="A600">
        <v>596</v>
      </c>
      <c r="B600">
        <f>Calopeia!D232</f>
        <v>91</v>
      </c>
      <c r="C600">
        <f>Sorange!B597</f>
        <v>0</v>
      </c>
      <c r="D600">
        <f>Tyran!B597</f>
        <v>0</v>
      </c>
      <c r="E600">
        <f>Fardo!B597</f>
        <v>0</v>
      </c>
      <c r="F600" s="2">
        <f>Entworpe!B597</f>
        <v>0</v>
      </c>
      <c r="G600">
        <v>1326</v>
      </c>
      <c r="H600" s="2">
        <f>Calopeia!H232</f>
        <v>48.252086681863425</v>
      </c>
      <c r="I600" s="2">
        <f>Sorange!E597</f>
        <v>104.97061634018155</v>
      </c>
      <c r="J600" s="2">
        <f>Tyran!D597</f>
        <v>19.409836065573771</v>
      </c>
      <c r="K600" s="2">
        <f>Fardo!D597</f>
        <v>15.704918032786885</v>
      </c>
      <c r="L600" s="2">
        <f>Entworpe!D597</f>
        <v>12.5</v>
      </c>
      <c r="M600">
        <f t="shared" si="11"/>
        <v>91</v>
      </c>
    </row>
    <row r="601" spans="1:13" x14ac:dyDescent="0.2">
      <c r="A601">
        <v>597</v>
      </c>
      <c r="B601">
        <f>Calopeia!D233</f>
        <v>74</v>
      </c>
      <c r="C601">
        <f>Sorange!B598</f>
        <v>0</v>
      </c>
      <c r="D601">
        <f>Tyran!B598</f>
        <v>0</v>
      </c>
      <c r="E601">
        <f>Fardo!B598</f>
        <v>0</v>
      </c>
      <c r="F601" s="2">
        <f>Entworpe!B598</f>
        <v>0</v>
      </c>
      <c r="G601">
        <v>1327</v>
      </c>
      <c r="H601" s="2">
        <f>Calopeia!H233</f>
        <v>48.252086681863425</v>
      </c>
      <c r="I601" s="2">
        <f>Sorange!E598</f>
        <v>105.1232680363115</v>
      </c>
      <c r="J601" s="2">
        <f>Tyran!D598</f>
        <v>19.409836065573771</v>
      </c>
      <c r="K601" s="2">
        <f>Fardo!D598</f>
        <v>15.704918032786885</v>
      </c>
      <c r="L601" s="2">
        <f>Entworpe!D598</f>
        <v>12.5</v>
      </c>
      <c r="M601">
        <f t="shared" si="11"/>
        <v>74</v>
      </c>
    </row>
    <row r="602" spans="1:13" x14ac:dyDescent="0.2">
      <c r="A602">
        <v>598</v>
      </c>
      <c r="B602">
        <f>Calopeia!D234</f>
        <v>84</v>
      </c>
      <c r="C602">
        <f>Sorange!B599</f>
        <v>0</v>
      </c>
      <c r="D602">
        <f>Tyran!B599</f>
        <v>0</v>
      </c>
      <c r="E602">
        <f>Fardo!B599</f>
        <v>0</v>
      </c>
      <c r="F602" s="2">
        <f>Entworpe!B599</f>
        <v>0</v>
      </c>
      <c r="G602">
        <v>1328</v>
      </c>
      <c r="H602" s="2">
        <f>Calopeia!H234</f>
        <v>48.252086681863425</v>
      </c>
      <c r="I602" s="2">
        <f>Sorange!E599</f>
        <v>105.27591973244147</v>
      </c>
      <c r="J602" s="2">
        <f>Tyran!D599</f>
        <v>19.409836065573771</v>
      </c>
      <c r="K602" s="2">
        <f>Fardo!D599</f>
        <v>15.704918032786885</v>
      </c>
      <c r="L602" s="2">
        <f>Entworpe!D599</f>
        <v>12.5</v>
      </c>
      <c r="M602">
        <f t="shared" si="11"/>
        <v>84</v>
      </c>
    </row>
    <row r="603" spans="1:13" x14ac:dyDescent="0.2">
      <c r="A603">
        <v>599</v>
      </c>
      <c r="B603">
        <f>Calopeia!D235</f>
        <v>30</v>
      </c>
      <c r="C603">
        <f>Sorange!B600</f>
        <v>0</v>
      </c>
      <c r="D603">
        <f>Tyran!B600</f>
        <v>0</v>
      </c>
      <c r="E603">
        <f>Fardo!B600</f>
        <v>0</v>
      </c>
      <c r="F603" s="2">
        <f>Entworpe!B600</f>
        <v>0</v>
      </c>
      <c r="G603">
        <v>1329</v>
      </c>
      <c r="H603" s="2">
        <f>Calopeia!H235</f>
        <v>48.252086681863425</v>
      </c>
      <c r="I603" s="2">
        <f>Sorange!E600</f>
        <v>105.42857142857142</v>
      </c>
      <c r="J603" s="2">
        <f>Tyran!D600</f>
        <v>19.409836065573771</v>
      </c>
      <c r="K603" s="2">
        <f>Fardo!D600</f>
        <v>15.704918032786885</v>
      </c>
      <c r="L603" s="2">
        <f>Entworpe!D600</f>
        <v>12.5</v>
      </c>
      <c r="M603">
        <f t="shared" si="11"/>
        <v>30</v>
      </c>
    </row>
    <row r="604" spans="1:13" x14ac:dyDescent="0.2">
      <c r="A604">
        <v>600</v>
      </c>
      <c r="B604">
        <f>Calopeia!D236</f>
        <v>35</v>
      </c>
      <c r="C604">
        <f>Sorange!B601</f>
        <v>0</v>
      </c>
      <c r="D604">
        <f>Tyran!B601</f>
        <v>0</v>
      </c>
      <c r="E604">
        <f>Fardo!B601</f>
        <v>0</v>
      </c>
      <c r="F604" s="2">
        <f>Entworpe!B601</f>
        <v>0</v>
      </c>
      <c r="G604">
        <v>1330</v>
      </c>
      <c r="H604" s="2">
        <f>Calopeia!H236</f>
        <v>48.252086681863425</v>
      </c>
      <c r="I604" s="2">
        <f>Sorange!E601</f>
        <v>105.58122312470138</v>
      </c>
      <c r="J604" s="2">
        <f>Tyran!D601</f>
        <v>19.409836065573771</v>
      </c>
      <c r="K604" s="2">
        <f>Fardo!D601</f>
        <v>15.704918032786885</v>
      </c>
      <c r="L604" s="2">
        <f>Entworpe!D601</f>
        <v>12.5</v>
      </c>
      <c r="M604">
        <f t="shared" si="11"/>
        <v>35</v>
      </c>
    </row>
    <row r="605" spans="1:13" x14ac:dyDescent="0.2">
      <c r="A605">
        <v>601</v>
      </c>
      <c r="B605">
        <f>Calopeia!D237</f>
        <v>45</v>
      </c>
      <c r="C605">
        <f>Sorange!B602</f>
        <v>0</v>
      </c>
      <c r="D605">
        <f>Tyran!B602</f>
        <v>0</v>
      </c>
      <c r="E605">
        <f>Fardo!B602</f>
        <v>0</v>
      </c>
      <c r="F605" s="2">
        <f>Entworpe!B602</f>
        <v>0</v>
      </c>
      <c r="G605">
        <v>1331</v>
      </c>
      <c r="H605" s="2">
        <f>Calopeia!H237</f>
        <v>48.252086681863425</v>
      </c>
      <c r="I605" s="2">
        <f>Sorange!E602</f>
        <v>105.73387482083133</v>
      </c>
      <c r="J605" s="2">
        <f>Tyran!D602</f>
        <v>19.409836065573771</v>
      </c>
      <c r="K605" s="2">
        <f>Fardo!D602</f>
        <v>15.704918032786885</v>
      </c>
      <c r="L605" s="2">
        <f>Entworpe!D602</f>
        <v>12.5</v>
      </c>
      <c r="M605">
        <f t="shared" si="11"/>
        <v>45</v>
      </c>
    </row>
    <row r="606" spans="1:13" x14ac:dyDescent="0.2">
      <c r="A606">
        <v>602</v>
      </c>
      <c r="B606">
        <f>Calopeia!D238</f>
        <v>55</v>
      </c>
      <c r="C606">
        <f>Sorange!B603</f>
        <v>0</v>
      </c>
      <c r="D606">
        <f>Tyran!B603</f>
        <v>0</v>
      </c>
      <c r="E606">
        <f>Fardo!B603</f>
        <v>0</v>
      </c>
      <c r="F606" s="2">
        <f>Entworpe!B603</f>
        <v>0</v>
      </c>
      <c r="G606">
        <v>1332</v>
      </c>
      <c r="H606" s="2">
        <f>Calopeia!H238</f>
        <v>48.252086681863425</v>
      </c>
      <c r="I606" s="2">
        <f>Sorange!E603</f>
        <v>105.8865265169613</v>
      </c>
      <c r="J606" s="2">
        <f>Tyran!D603</f>
        <v>19.409836065573771</v>
      </c>
      <c r="K606" s="2">
        <f>Fardo!D603</f>
        <v>15.704918032786885</v>
      </c>
      <c r="L606" s="2">
        <f>Entworpe!D603</f>
        <v>12.5</v>
      </c>
      <c r="M606">
        <f t="shared" si="11"/>
        <v>55</v>
      </c>
    </row>
    <row r="607" spans="1:13" x14ac:dyDescent="0.2">
      <c r="A607">
        <v>603</v>
      </c>
      <c r="B607">
        <f>Calopeia!D239</f>
        <v>53</v>
      </c>
      <c r="C607">
        <f>Sorange!B604</f>
        <v>0</v>
      </c>
      <c r="D607">
        <f>Tyran!B604</f>
        <v>0</v>
      </c>
      <c r="E607">
        <f>Fardo!B604</f>
        <v>0</v>
      </c>
      <c r="F607" s="2">
        <f>Entworpe!B604</f>
        <v>0</v>
      </c>
      <c r="G607">
        <v>1333</v>
      </c>
      <c r="H607" s="2">
        <f>Calopeia!H239</f>
        <v>48.252086681863425</v>
      </c>
      <c r="I607" s="2">
        <f>Sorange!E604</f>
        <v>106.03917821309125</v>
      </c>
      <c r="J607" s="2">
        <f>Tyran!D604</f>
        <v>19.409836065573771</v>
      </c>
      <c r="K607" s="2">
        <f>Fardo!D604</f>
        <v>15.704918032786885</v>
      </c>
      <c r="L607" s="2">
        <f>Entworpe!D604</f>
        <v>12.5</v>
      </c>
      <c r="M607">
        <f t="shared" si="11"/>
        <v>53</v>
      </c>
    </row>
    <row r="608" spans="1:13" x14ac:dyDescent="0.2">
      <c r="A608">
        <v>604</v>
      </c>
      <c r="B608">
        <f>Calopeia!D240</f>
        <v>64</v>
      </c>
      <c r="C608">
        <f>Sorange!B605</f>
        <v>0</v>
      </c>
      <c r="D608">
        <f>Tyran!B605</f>
        <v>0</v>
      </c>
      <c r="E608">
        <f>Fardo!B605</f>
        <v>0</v>
      </c>
      <c r="F608" s="2">
        <f>Entworpe!B605</f>
        <v>0</v>
      </c>
      <c r="G608">
        <v>1334</v>
      </c>
      <c r="H608" s="2">
        <f>Calopeia!H240</f>
        <v>48.252086681863425</v>
      </c>
      <c r="I608" s="2">
        <f>Sorange!E605</f>
        <v>106.1918299092212</v>
      </c>
      <c r="J608" s="2">
        <f>Tyran!D605</f>
        <v>19.409836065573771</v>
      </c>
      <c r="K608" s="2">
        <f>Fardo!D605</f>
        <v>15.704918032786885</v>
      </c>
      <c r="L608" s="2">
        <f>Entworpe!D605</f>
        <v>12.5</v>
      </c>
      <c r="M608">
        <f t="shared" si="11"/>
        <v>64</v>
      </c>
    </row>
    <row r="609" spans="1:13" x14ac:dyDescent="0.2">
      <c r="A609">
        <v>605</v>
      </c>
      <c r="B609">
        <f>Calopeia!D241</f>
        <v>56</v>
      </c>
      <c r="C609">
        <f>Sorange!B606</f>
        <v>0</v>
      </c>
      <c r="D609">
        <f>Tyran!B606</f>
        <v>0</v>
      </c>
      <c r="E609">
        <f>Fardo!B606</f>
        <v>0</v>
      </c>
      <c r="F609" s="2">
        <f>Entworpe!B606</f>
        <v>0</v>
      </c>
      <c r="G609">
        <v>1335</v>
      </c>
      <c r="H609" s="2">
        <f>Calopeia!H241</f>
        <v>48.252086681863425</v>
      </c>
      <c r="I609" s="2">
        <f>Sorange!E606</f>
        <v>106.34448160535116</v>
      </c>
      <c r="J609" s="2">
        <f>Tyran!D606</f>
        <v>19.409836065573771</v>
      </c>
      <c r="K609" s="2">
        <f>Fardo!D606</f>
        <v>15.704918032786885</v>
      </c>
      <c r="L609" s="2">
        <f>Entworpe!D606</f>
        <v>12.5</v>
      </c>
      <c r="M609">
        <f t="shared" si="11"/>
        <v>56</v>
      </c>
    </row>
    <row r="610" spans="1:13" x14ac:dyDescent="0.2">
      <c r="A610">
        <v>606</v>
      </c>
      <c r="B610">
        <f>Calopeia!D242</f>
        <v>75</v>
      </c>
      <c r="C610">
        <f>Sorange!B607</f>
        <v>0</v>
      </c>
      <c r="D610">
        <f>Tyran!B607</f>
        <v>0</v>
      </c>
      <c r="E610">
        <f>Fardo!B607</f>
        <v>0</v>
      </c>
      <c r="F610" s="2">
        <f>Entworpe!B607</f>
        <v>0</v>
      </c>
      <c r="G610">
        <v>1336</v>
      </c>
      <c r="H610" s="2">
        <f>Calopeia!H242</f>
        <v>48.252086681863425</v>
      </c>
      <c r="I610" s="2">
        <f>Sorange!E607</f>
        <v>106.49713330148111</v>
      </c>
      <c r="J610" s="2">
        <f>Tyran!D607</f>
        <v>19.409836065573771</v>
      </c>
      <c r="K610" s="2">
        <f>Fardo!D607</f>
        <v>15.704918032786885</v>
      </c>
      <c r="L610" s="2">
        <f>Entworpe!D607</f>
        <v>12.5</v>
      </c>
      <c r="M610">
        <f t="shared" si="11"/>
        <v>75</v>
      </c>
    </row>
    <row r="611" spans="1:13" x14ac:dyDescent="0.2">
      <c r="A611">
        <v>607</v>
      </c>
      <c r="B611">
        <f>Calopeia!D243</f>
        <v>80</v>
      </c>
      <c r="C611">
        <f>Sorange!B608</f>
        <v>0</v>
      </c>
      <c r="D611">
        <f>Tyran!B608</f>
        <v>0</v>
      </c>
      <c r="E611">
        <f>Fardo!B608</f>
        <v>0</v>
      </c>
      <c r="F611" s="2">
        <f>Entworpe!B608</f>
        <v>0</v>
      </c>
      <c r="G611">
        <v>1337</v>
      </c>
      <c r="H611" s="2">
        <f>Calopeia!H243</f>
        <v>48.252086681863425</v>
      </c>
      <c r="I611" s="2">
        <f>Sorange!E608</f>
        <v>106.64978499761108</v>
      </c>
      <c r="J611" s="2">
        <f>Tyran!D608</f>
        <v>19.409836065573771</v>
      </c>
      <c r="K611" s="2">
        <f>Fardo!D608</f>
        <v>15.704918032786885</v>
      </c>
      <c r="L611" s="2">
        <f>Entworpe!D608</f>
        <v>12.5</v>
      </c>
      <c r="M611">
        <f t="shared" si="11"/>
        <v>80</v>
      </c>
    </row>
    <row r="612" spans="1:13" x14ac:dyDescent="0.2">
      <c r="A612">
        <v>608</v>
      </c>
      <c r="B612">
        <f>Calopeia!D244</f>
        <v>30</v>
      </c>
      <c r="C612">
        <f>Sorange!B609</f>
        <v>0</v>
      </c>
      <c r="D612">
        <f>Tyran!B609</f>
        <v>0</v>
      </c>
      <c r="E612">
        <f>Fardo!B609</f>
        <v>0</v>
      </c>
      <c r="F612" s="2">
        <f>Entworpe!B609</f>
        <v>0</v>
      </c>
      <c r="G612">
        <v>1338</v>
      </c>
      <c r="H612" s="2">
        <f>Calopeia!H244</f>
        <v>48.252086681863425</v>
      </c>
      <c r="I612" s="2">
        <f>Sorange!E609</f>
        <v>106.80243669374103</v>
      </c>
      <c r="J612" s="2">
        <f>Tyran!D609</f>
        <v>19.409836065573771</v>
      </c>
      <c r="K612" s="2">
        <f>Fardo!D609</f>
        <v>15.704918032786885</v>
      </c>
      <c r="L612" s="2">
        <f>Entworpe!D609</f>
        <v>12.5</v>
      </c>
      <c r="M612">
        <f t="shared" si="11"/>
        <v>30</v>
      </c>
    </row>
    <row r="613" spans="1:13" x14ac:dyDescent="0.2">
      <c r="A613">
        <v>609</v>
      </c>
      <c r="B613">
        <f>Calopeia!D245</f>
        <v>60</v>
      </c>
      <c r="C613">
        <f>Sorange!B610</f>
        <v>0</v>
      </c>
      <c r="D613">
        <f>Tyran!B610</f>
        <v>0</v>
      </c>
      <c r="E613">
        <f>Fardo!B610</f>
        <v>0</v>
      </c>
      <c r="F613" s="2">
        <f>Entworpe!B610</f>
        <v>0</v>
      </c>
      <c r="G613">
        <v>1339</v>
      </c>
      <c r="H613" s="2">
        <f>Calopeia!H245</f>
        <v>48.252086681863425</v>
      </c>
      <c r="I613" s="2">
        <f>Sorange!E610</f>
        <v>106.95508838987099</v>
      </c>
      <c r="J613" s="2">
        <f>Tyran!D610</f>
        <v>19.409836065573771</v>
      </c>
      <c r="K613" s="2">
        <f>Fardo!D610</f>
        <v>15.704918032786885</v>
      </c>
      <c r="L613" s="2">
        <f>Entworpe!D610</f>
        <v>12.5</v>
      </c>
      <c r="M613">
        <f t="shared" si="11"/>
        <v>60</v>
      </c>
    </row>
    <row r="614" spans="1:13" x14ac:dyDescent="0.2">
      <c r="A614">
        <v>610</v>
      </c>
      <c r="B614">
        <f>Calopeia!D246</f>
        <v>71</v>
      </c>
      <c r="C614">
        <f>Sorange!B611</f>
        <v>0</v>
      </c>
      <c r="D614">
        <f>Tyran!B611</f>
        <v>0</v>
      </c>
      <c r="E614">
        <f>Fardo!B611</f>
        <v>0</v>
      </c>
      <c r="F614" s="2">
        <f>Entworpe!B611</f>
        <v>0</v>
      </c>
      <c r="G614">
        <v>1340</v>
      </c>
      <c r="H614" s="2">
        <f>Calopeia!H246</f>
        <v>48.252086681863425</v>
      </c>
      <c r="I614" s="2">
        <f>Sorange!E611</f>
        <v>107.10774008600094</v>
      </c>
      <c r="J614" s="2">
        <f>Tyran!D611</f>
        <v>19.409836065573771</v>
      </c>
      <c r="K614" s="2">
        <f>Fardo!D611</f>
        <v>15.704918032786885</v>
      </c>
      <c r="L614" s="2">
        <f>Entworpe!D611</f>
        <v>12.5</v>
      </c>
      <c r="M614">
        <f t="shared" si="11"/>
        <v>71</v>
      </c>
    </row>
    <row r="615" spans="1:13" x14ac:dyDescent="0.2">
      <c r="A615">
        <v>611</v>
      </c>
      <c r="B615">
        <f>Calopeia!D247</f>
        <v>60</v>
      </c>
      <c r="C615">
        <f>Sorange!B612</f>
        <v>0</v>
      </c>
      <c r="D615">
        <f>Tyran!B612</f>
        <v>0</v>
      </c>
      <c r="E615">
        <f>Fardo!B612</f>
        <v>0</v>
      </c>
      <c r="F615" s="2">
        <f>Entworpe!B612</f>
        <v>0</v>
      </c>
      <c r="G615">
        <v>1341</v>
      </c>
      <c r="H615" s="2">
        <f>Calopeia!H247</f>
        <v>48.252086681863425</v>
      </c>
      <c r="I615" s="2">
        <f>Sorange!E612</f>
        <v>107.26039178213091</v>
      </c>
      <c r="J615" s="2">
        <f>Tyran!D612</f>
        <v>19.409836065573771</v>
      </c>
      <c r="K615" s="2">
        <f>Fardo!D612</f>
        <v>15.704918032786885</v>
      </c>
      <c r="L615" s="2">
        <f>Entworpe!D612</f>
        <v>12.5</v>
      </c>
      <c r="M615">
        <f t="shared" si="11"/>
        <v>60</v>
      </c>
    </row>
    <row r="616" spans="1:13" x14ac:dyDescent="0.2">
      <c r="A616">
        <v>612</v>
      </c>
      <c r="B616">
        <f>Calopeia!D248</f>
        <v>50</v>
      </c>
      <c r="C616">
        <f>Sorange!B613</f>
        <v>0</v>
      </c>
      <c r="D616">
        <f>Tyran!B613</f>
        <v>0</v>
      </c>
      <c r="E616">
        <f>Fardo!B613</f>
        <v>0</v>
      </c>
      <c r="F616" s="2">
        <f>Entworpe!B613</f>
        <v>0</v>
      </c>
      <c r="G616">
        <v>1342</v>
      </c>
      <c r="H616" s="2">
        <f>Calopeia!H248</f>
        <v>48.252086681863425</v>
      </c>
      <c r="I616" s="2">
        <f>Sorange!E613</f>
        <v>107.41304347826086</v>
      </c>
      <c r="J616" s="2">
        <f>Tyran!D613</f>
        <v>19.409836065573771</v>
      </c>
      <c r="K616" s="2">
        <f>Fardo!D613</f>
        <v>15.704918032786885</v>
      </c>
      <c r="L616" s="2">
        <f>Entworpe!D613</f>
        <v>12.5</v>
      </c>
      <c r="M616">
        <f t="shared" si="11"/>
        <v>50</v>
      </c>
    </row>
    <row r="617" spans="1:13" x14ac:dyDescent="0.2">
      <c r="A617">
        <v>613</v>
      </c>
      <c r="B617">
        <f>Calopeia!D249</f>
        <v>66</v>
      </c>
      <c r="C617">
        <f>Sorange!B614</f>
        <v>0</v>
      </c>
      <c r="D617">
        <f>Tyran!B614</f>
        <v>0</v>
      </c>
      <c r="E617">
        <f>Fardo!B614</f>
        <v>0</v>
      </c>
      <c r="F617" s="2">
        <f>Entworpe!B614</f>
        <v>0</v>
      </c>
      <c r="G617">
        <v>1343</v>
      </c>
      <c r="H617" s="2">
        <f>Calopeia!H249</f>
        <v>48.252086681863425</v>
      </c>
      <c r="I617" s="2">
        <f>Sorange!E614</f>
        <v>107.56569517439083</v>
      </c>
      <c r="J617" s="2">
        <f>Tyran!D614</f>
        <v>19.409836065573771</v>
      </c>
      <c r="K617" s="2">
        <f>Fardo!D614</f>
        <v>15.704918032786885</v>
      </c>
      <c r="L617" s="2">
        <f>Entworpe!D614</f>
        <v>12.5</v>
      </c>
      <c r="M617">
        <f t="shared" si="11"/>
        <v>66</v>
      </c>
    </row>
    <row r="618" spans="1:13" x14ac:dyDescent="0.2">
      <c r="A618">
        <v>614</v>
      </c>
      <c r="B618">
        <f>Calopeia!D250</f>
        <v>67</v>
      </c>
      <c r="C618">
        <f>Sorange!B615</f>
        <v>0</v>
      </c>
      <c r="D618">
        <f>Tyran!B615</f>
        <v>0</v>
      </c>
      <c r="E618">
        <f>Fardo!B615</f>
        <v>0</v>
      </c>
      <c r="F618" s="2">
        <f>Entworpe!B615</f>
        <v>0</v>
      </c>
      <c r="G618">
        <v>1344</v>
      </c>
      <c r="H618" s="2">
        <f>Calopeia!H250</f>
        <v>48.252086681863425</v>
      </c>
      <c r="I618" s="2">
        <f>Sorange!E615</f>
        <v>107.71834687052078</v>
      </c>
      <c r="J618" s="2">
        <f>Tyran!D615</f>
        <v>19.409836065573771</v>
      </c>
      <c r="K618" s="2">
        <f>Fardo!D615</f>
        <v>15.704918032786885</v>
      </c>
      <c r="L618" s="2">
        <f>Entworpe!D615</f>
        <v>12.5</v>
      </c>
      <c r="M618">
        <f t="shared" si="11"/>
        <v>67</v>
      </c>
    </row>
    <row r="619" spans="1:13" x14ac:dyDescent="0.2">
      <c r="A619">
        <v>615</v>
      </c>
      <c r="B619">
        <f>Calopeia!D251</f>
        <v>46</v>
      </c>
      <c r="C619">
        <f>Sorange!B616</f>
        <v>0</v>
      </c>
      <c r="D619">
        <f>Tyran!B616</f>
        <v>0</v>
      </c>
      <c r="E619">
        <f>Fardo!B616</f>
        <v>0</v>
      </c>
      <c r="F619" s="2">
        <f>Entworpe!B616</f>
        <v>0</v>
      </c>
      <c r="G619">
        <v>1345</v>
      </c>
      <c r="H619" s="2">
        <f>Calopeia!H251</f>
        <v>48.252086681863425</v>
      </c>
      <c r="I619" s="2">
        <f>Sorange!E616</f>
        <v>107.87099856665073</v>
      </c>
      <c r="J619" s="2">
        <f>Tyran!D616</f>
        <v>19.409836065573771</v>
      </c>
      <c r="K619" s="2">
        <f>Fardo!D616</f>
        <v>15.704918032786885</v>
      </c>
      <c r="L619" s="2">
        <f>Entworpe!D616</f>
        <v>12.5</v>
      </c>
      <c r="M619">
        <f t="shared" si="11"/>
        <v>46</v>
      </c>
    </row>
    <row r="620" spans="1:13" x14ac:dyDescent="0.2">
      <c r="A620">
        <v>616</v>
      </c>
      <c r="B620">
        <f>Calopeia!D252</f>
        <v>48</v>
      </c>
      <c r="C620">
        <f>Sorange!B617</f>
        <v>0</v>
      </c>
      <c r="D620">
        <f>Tyran!B617</f>
        <v>0</v>
      </c>
      <c r="E620">
        <f>Fardo!B617</f>
        <v>0</v>
      </c>
      <c r="F620" s="2">
        <f>Entworpe!B617</f>
        <v>0</v>
      </c>
      <c r="G620">
        <v>1346</v>
      </c>
      <c r="H620" s="2">
        <f>Calopeia!H252</f>
        <v>48.252086681863425</v>
      </c>
      <c r="I620" s="2">
        <f>Sorange!E617</f>
        <v>108.02365026278069</v>
      </c>
      <c r="J620" s="2">
        <f>Tyran!D617</f>
        <v>19.409836065573771</v>
      </c>
      <c r="K620" s="2">
        <f>Fardo!D617</f>
        <v>15.704918032786885</v>
      </c>
      <c r="L620" s="2">
        <f>Entworpe!D617</f>
        <v>12.5</v>
      </c>
      <c r="M620">
        <f t="shared" si="11"/>
        <v>48</v>
      </c>
    </row>
    <row r="621" spans="1:13" x14ac:dyDescent="0.2">
      <c r="A621">
        <v>617</v>
      </c>
      <c r="B621">
        <f>Calopeia!D253</f>
        <v>71</v>
      </c>
      <c r="C621">
        <f>Sorange!B618</f>
        <v>0</v>
      </c>
      <c r="D621">
        <f>Tyran!B618</f>
        <v>0</v>
      </c>
      <c r="E621">
        <f>Fardo!B618</f>
        <v>0</v>
      </c>
      <c r="F621" s="2">
        <f>Entworpe!B618</f>
        <v>0</v>
      </c>
      <c r="G621">
        <v>1347</v>
      </c>
      <c r="H621" s="2">
        <f>Calopeia!H253</f>
        <v>48.252086681863425</v>
      </c>
      <c r="I621" s="2">
        <f>Sorange!E618</f>
        <v>108.17630195891064</v>
      </c>
      <c r="J621" s="2">
        <f>Tyran!D618</f>
        <v>19.409836065573771</v>
      </c>
      <c r="K621" s="2">
        <f>Fardo!D618</f>
        <v>15.704918032786885</v>
      </c>
      <c r="L621" s="2">
        <f>Entworpe!D618</f>
        <v>12.5</v>
      </c>
      <c r="M621">
        <f t="shared" si="11"/>
        <v>71</v>
      </c>
    </row>
    <row r="622" spans="1:13" x14ac:dyDescent="0.2">
      <c r="A622">
        <v>618</v>
      </c>
      <c r="B622">
        <f>Calopeia!D254</f>
        <v>68</v>
      </c>
      <c r="C622">
        <f>Sorange!B619</f>
        <v>0</v>
      </c>
      <c r="D622">
        <f>Tyran!B619</f>
        <v>0</v>
      </c>
      <c r="E622">
        <f>Fardo!B619</f>
        <v>0</v>
      </c>
      <c r="F622" s="2">
        <f>Entworpe!B619</f>
        <v>0</v>
      </c>
      <c r="G622">
        <v>1348</v>
      </c>
      <c r="H622" s="2">
        <f>Calopeia!H254</f>
        <v>48.252086681863425</v>
      </c>
      <c r="I622" s="2">
        <f>Sorange!E619</f>
        <v>108.32895365504061</v>
      </c>
      <c r="J622" s="2">
        <f>Tyran!D619</f>
        <v>19.409836065573771</v>
      </c>
      <c r="K622" s="2">
        <f>Fardo!D619</f>
        <v>15.704918032786885</v>
      </c>
      <c r="L622" s="2">
        <f>Entworpe!D619</f>
        <v>12.5</v>
      </c>
      <c r="M622">
        <f t="shared" si="11"/>
        <v>68</v>
      </c>
    </row>
    <row r="623" spans="1:13" x14ac:dyDescent="0.2">
      <c r="A623">
        <v>619</v>
      </c>
      <c r="B623">
        <f>Calopeia!D255</f>
        <v>22</v>
      </c>
      <c r="C623">
        <f>Sorange!B620</f>
        <v>0</v>
      </c>
      <c r="D623">
        <f>Tyran!B620</f>
        <v>0</v>
      </c>
      <c r="E623">
        <f>Fardo!B620</f>
        <v>0</v>
      </c>
      <c r="F623" s="2">
        <f>Entworpe!B620</f>
        <v>0</v>
      </c>
      <c r="G623">
        <v>1349</v>
      </c>
      <c r="H623" s="2">
        <f>Calopeia!H255</f>
        <v>48.252086681863425</v>
      </c>
      <c r="I623" s="2">
        <f>Sorange!E620</f>
        <v>108.48160535117056</v>
      </c>
      <c r="J623" s="2">
        <f>Tyran!D620</f>
        <v>19.409836065573771</v>
      </c>
      <c r="K623" s="2">
        <f>Fardo!D620</f>
        <v>15.704918032786885</v>
      </c>
      <c r="L623" s="2">
        <f>Entworpe!D620</f>
        <v>12.5</v>
      </c>
      <c r="M623">
        <f t="shared" si="11"/>
        <v>22</v>
      </c>
    </row>
    <row r="624" spans="1:13" x14ac:dyDescent="0.2">
      <c r="A624">
        <v>620</v>
      </c>
      <c r="B624">
        <f>Calopeia!D256</f>
        <v>36</v>
      </c>
      <c r="C624">
        <f>Sorange!B621</f>
        <v>0</v>
      </c>
      <c r="D624">
        <f>Tyran!B621</f>
        <v>0</v>
      </c>
      <c r="E624">
        <f>Fardo!B621</f>
        <v>0</v>
      </c>
      <c r="F624" s="2">
        <f>Entworpe!B621</f>
        <v>0</v>
      </c>
      <c r="G624">
        <v>1350</v>
      </c>
      <c r="H624" s="2">
        <f>Calopeia!H256</f>
        <v>48.252086681863425</v>
      </c>
      <c r="I624" s="2">
        <f>Sorange!E621</f>
        <v>108.63425704730052</v>
      </c>
      <c r="J624" s="2">
        <f>Tyran!D621</f>
        <v>19.409836065573771</v>
      </c>
      <c r="K624" s="2">
        <f>Fardo!D621</f>
        <v>15.704918032786885</v>
      </c>
      <c r="L624" s="2">
        <f>Entworpe!D621</f>
        <v>12.5</v>
      </c>
      <c r="M624">
        <f t="shared" si="11"/>
        <v>36</v>
      </c>
    </row>
    <row r="625" spans="1:13" x14ac:dyDescent="0.2">
      <c r="A625">
        <v>621</v>
      </c>
      <c r="B625">
        <f>Calopeia!D257</f>
        <v>41</v>
      </c>
      <c r="C625">
        <f>Sorange!B622</f>
        <v>0</v>
      </c>
      <c r="D625">
        <f>Tyran!B622</f>
        <v>0</v>
      </c>
      <c r="E625">
        <f>Fardo!B622</f>
        <v>0</v>
      </c>
      <c r="F625" s="2">
        <f>Entworpe!B622</f>
        <v>0</v>
      </c>
      <c r="G625">
        <v>1351</v>
      </c>
      <c r="H625" s="2">
        <f>Calopeia!H257</f>
        <v>48.252086681863425</v>
      </c>
      <c r="I625" s="2">
        <f>Sorange!E622</f>
        <v>108.78690874343047</v>
      </c>
      <c r="J625" s="2">
        <f>Tyran!D622</f>
        <v>19.409836065573771</v>
      </c>
      <c r="K625" s="2">
        <f>Fardo!D622</f>
        <v>15.704918032786885</v>
      </c>
      <c r="L625" s="2">
        <f>Entworpe!D622</f>
        <v>12.5</v>
      </c>
      <c r="M625">
        <f t="shared" si="11"/>
        <v>41</v>
      </c>
    </row>
    <row r="626" spans="1:13" x14ac:dyDescent="0.2">
      <c r="A626">
        <v>622</v>
      </c>
      <c r="B626">
        <f>Calopeia!D258</f>
        <v>36</v>
      </c>
      <c r="C626">
        <f>Sorange!B623</f>
        <v>0</v>
      </c>
      <c r="D626">
        <f>Tyran!B623</f>
        <v>0</v>
      </c>
      <c r="E626">
        <f>Fardo!B623</f>
        <v>0</v>
      </c>
      <c r="F626" s="2">
        <f>Entworpe!B623</f>
        <v>0</v>
      </c>
      <c r="G626">
        <v>1352</v>
      </c>
      <c r="H626" s="2">
        <f>Calopeia!H258</f>
        <v>48.252086681863425</v>
      </c>
      <c r="I626" s="2">
        <f>Sorange!E623</f>
        <v>108.93956043956044</v>
      </c>
      <c r="J626" s="2">
        <f>Tyran!D623</f>
        <v>19.409836065573771</v>
      </c>
      <c r="K626" s="2">
        <f>Fardo!D623</f>
        <v>15.704918032786885</v>
      </c>
      <c r="L626" s="2">
        <f>Entworpe!D623</f>
        <v>12.5</v>
      </c>
      <c r="M626">
        <f t="shared" si="11"/>
        <v>36</v>
      </c>
    </row>
    <row r="627" spans="1:13" x14ac:dyDescent="0.2">
      <c r="A627">
        <v>623</v>
      </c>
      <c r="B627">
        <f>Calopeia!D259</f>
        <v>58</v>
      </c>
      <c r="C627">
        <f>Sorange!B624</f>
        <v>0</v>
      </c>
      <c r="D627">
        <f>Tyran!B624</f>
        <v>0</v>
      </c>
      <c r="E627">
        <f>Fardo!B624</f>
        <v>0</v>
      </c>
      <c r="F627" s="2">
        <f>Entworpe!B624</f>
        <v>0</v>
      </c>
      <c r="G627">
        <v>1353</v>
      </c>
      <c r="H627" s="2">
        <f>Calopeia!H259</f>
        <v>48.252086681863425</v>
      </c>
      <c r="I627" s="2">
        <f>Sorange!E624</f>
        <v>109.09221213569039</v>
      </c>
      <c r="J627" s="2">
        <f>Tyran!D624</f>
        <v>19.409836065573771</v>
      </c>
      <c r="K627" s="2">
        <f>Fardo!D624</f>
        <v>15.704918032786885</v>
      </c>
      <c r="L627" s="2">
        <f>Entworpe!D624</f>
        <v>12.5</v>
      </c>
      <c r="M627">
        <f t="shared" si="11"/>
        <v>58</v>
      </c>
    </row>
    <row r="628" spans="1:13" x14ac:dyDescent="0.2">
      <c r="A628">
        <v>624</v>
      </c>
      <c r="B628">
        <f>Calopeia!D260</f>
        <v>63</v>
      </c>
      <c r="C628">
        <f>Sorange!B625</f>
        <v>0</v>
      </c>
      <c r="D628">
        <f>Tyran!B625</f>
        <v>0</v>
      </c>
      <c r="E628">
        <f>Fardo!B625</f>
        <v>0</v>
      </c>
      <c r="F628" s="2">
        <f>Entworpe!B625</f>
        <v>0</v>
      </c>
      <c r="G628">
        <v>1354</v>
      </c>
      <c r="H628" s="2">
        <f>Calopeia!H260</f>
        <v>48.252086681863425</v>
      </c>
      <c r="I628" s="2">
        <f>Sorange!E625</f>
        <v>109.24486383182034</v>
      </c>
      <c r="J628" s="2">
        <f>Tyran!D625</f>
        <v>19.409836065573771</v>
      </c>
      <c r="K628" s="2">
        <f>Fardo!D625</f>
        <v>15.704918032786885</v>
      </c>
      <c r="L628" s="2">
        <f>Entworpe!D625</f>
        <v>12.5</v>
      </c>
      <c r="M628">
        <f t="shared" si="11"/>
        <v>63</v>
      </c>
    </row>
    <row r="629" spans="1:13" x14ac:dyDescent="0.2">
      <c r="A629">
        <v>625</v>
      </c>
      <c r="B629">
        <f>Calopeia!D261</f>
        <v>29</v>
      </c>
      <c r="C629">
        <f>Sorange!B626</f>
        <v>0</v>
      </c>
      <c r="D629">
        <f>Tyran!B626</f>
        <v>0</v>
      </c>
      <c r="E629">
        <f>Fardo!B626</f>
        <v>0</v>
      </c>
      <c r="F629" s="2">
        <f>Entworpe!B626</f>
        <v>0</v>
      </c>
      <c r="G629">
        <v>1355</v>
      </c>
      <c r="H629" s="2">
        <f>Calopeia!H261</f>
        <v>48.252086681863425</v>
      </c>
      <c r="I629" s="2">
        <f>Sorange!E626</f>
        <v>109.3975155279503</v>
      </c>
      <c r="J629" s="2">
        <f>Tyran!D626</f>
        <v>19.409836065573771</v>
      </c>
      <c r="K629" s="2">
        <f>Fardo!D626</f>
        <v>15.704918032786885</v>
      </c>
      <c r="L629" s="2">
        <f>Entworpe!D626</f>
        <v>12.5</v>
      </c>
      <c r="M629">
        <f t="shared" si="11"/>
        <v>29</v>
      </c>
    </row>
    <row r="630" spans="1:13" x14ac:dyDescent="0.2">
      <c r="A630">
        <v>626</v>
      </c>
      <c r="B630">
        <f>Calopeia!D262</f>
        <v>29</v>
      </c>
      <c r="C630">
        <f>Sorange!B627</f>
        <v>0</v>
      </c>
      <c r="D630">
        <f>Tyran!B627</f>
        <v>0</v>
      </c>
      <c r="E630">
        <f>Fardo!B627</f>
        <v>0</v>
      </c>
      <c r="F630" s="2">
        <f>Entworpe!B627</f>
        <v>0</v>
      </c>
      <c r="G630">
        <v>1356</v>
      </c>
      <c r="H630" s="2">
        <f>Calopeia!H262</f>
        <v>48.252086681863425</v>
      </c>
      <c r="I630" s="2">
        <f>Sorange!E627</f>
        <v>109.55016722408025</v>
      </c>
      <c r="J630" s="2">
        <f>Tyran!D627</f>
        <v>19.409836065573771</v>
      </c>
      <c r="K630" s="2">
        <f>Fardo!D627</f>
        <v>15.704918032786885</v>
      </c>
      <c r="L630" s="2">
        <f>Entworpe!D627</f>
        <v>12.5</v>
      </c>
      <c r="M630">
        <f t="shared" si="11"/>
        <v>29</v>
      </c>
    </row>
    <row r="631" spans="1:13" x14ac:dyDescent="0.2">
      <c r="A631">
        <v>627</v>
      </c>
      <c r="B631">
        <f>Calopeia!D263</f>
        <v>42</v>
      </c>
      <c r="C631">
        <f>Sorange!B628</f>
        <v>0</v>
      </c>
      <c r="D631">
        <f>Tyran!B628</f>
        <v>0</v>
      </c>
      <c r="E631">
        <f>Fardo!B628</f>
        <v>0</v>
      </c>
      <c r="F631" s="2">
        <f>Entworpe!B628</f>
        <v>0</v>
      </c>
      <c r="G631">
        <v>1357</v>
      </c>
      <c r="H631" s="2">
        <f>Calopeia!H263</f>
        <v>48.252086681863425</v>
      </c>
      <c r="I631" s="2">
        <f>Sorange!E628</f>
        <v>109.70281892021022</v>
      </c>
      <c r="J631" s="2">
        <f>Tyran!D628</f>
        <v>19.409836065573771</v>
      </c>
      <c r="K631" s="2">
        <f>Fardo!D628</f>
        <v>15.704918032786885</v>
      </c>
      <c r="L631" s="2">
        <f>Entworpe!D628</f>
        <v>12.5</v>
      </c>
      <c r="M631">
        <f t="shared" si="11"/>
        <v>42</v>
      </c>
    </row>
    <row r="632" spans="1:13" x14ac:dyDescent="0.2">
      <c r="A632">
        <v>628</v>
      </c>
      <c r="B632">
        <f>Calopeia!D264</f>
        <v>75</v>
      </c>
      <c r="C632">
        <f>Sorange!B629</f>
        <v>0</v>
      </c>
      <c r="D632">
        <f>Tyran!B629</f>
        <v>0</v>
      </c>
      <c r="E632">
        <f>Fardo!B629</f>
        <v>0</v>
      </c>
      <c r="F632" s="2">
        <f>Entworpe!B629</f>
        <v>0</v>
      </c>
      <c r="G632">
        <v>1358</v>
      </c>
      <c r="H632" s="2">
        <f>Calopeia!H264</f>
        <v>48.252086681863425</v>
      </c>
      <c r="I632" s="2">
        <f>Sorange!E629</f>
        <v>109.85547061634017</v>
      </c>
      <c r="J632" s="2">
        <f>Tyran!D629</f>
        <v>19.409836065573771</v>
      </c>
      <c r="K632" s="2">
        <f>Fardo!D629</f>
        <v>15.704918032786885</v>
      </c>
      <c r="L632" s="2">
        <f>Entworpe!D629</f>
        <v>12.5</v>
      </c>
      <c r="M632">
        <f t="shared" si="11"/>
        <v>75</v>
      </c>
    </row>
    <row r="633" spans="1:13" x14ac:dyDescent="0.2">
      <c r="A633">
        <v>629</v>
      </c>
      <c r="B633">
        <f>Calopeia!D265</f>
        <v>85</v>
      </c>
      <c r="C633">
        <f>Sorange!B630</f>
        <v>0</v>
      </c>
      <c r="D633">
        <f>Tyran!B630</f>
        <v>0</v>
      </c>
      <c r="E633">
        <f>Fardo!B630</f>
        <v>0</v>
      </c>
      <c r="F633" s="2">
        <f>Entworpe!B630</f>
        <v>0</v>
      </c>
      <c r="G633">
        <v>1359</v>
      </c>
      <c r="H633" s="2">
        <f>Calopeia!H265</f>
        <v>48.252086681863425</v>
      </c>
      <c r="I633" s="2">
        <f>Sorange!E630</f>
        <v>110.00812231247014</v>
      </c>
      <c r="J633" s="2">
        <f>Tyran!D630</f>
        <v>19.409836065573771</v>
      </c>
      <c r="K633" s="2">
        <f>Fardo!D630</f>
        <v>15.704918032786885</v>
      </c>
      <c r="L633" s="2">
        <f>Entworpe!D630</f>
        <v>12.5</v>
      </c>
      <c r="M633">
        <f t="shared" si="11"/>
        <v>85</v>
      </c>
    </row>
    <row r="634" spans="1:13" x14ac:dyDescent="0.2">
      <c r="A634">
        <v>630</v>
      </c>
      <c r="B634">
        <f>Calopeia!D266</f>
        <v>61</v>
      </c>
      <c r="C634">
        <f>Sorange!B631</f>
        <v>0</v>
      </c>
      <c r="D634">
        <f>Tyran!B631</f>
        <v>0</v>
      </c>
      <c r="E634">
        <f>Fardo!B631</f>
        <v>0</v>
      </c>
      <c r="F634" s="2">
        <f>Entworpe!B631</f>
        <v>0</v>
      </c>
      <c r="G634">
        <v>1360</v>
      </c>
      <c r="H634" s="2">
        <f>Calopeia!H266</f>
        <v>48.252086681863425</v>
      </c>
      <c r="I634" s="2">
        <f>Sorange!E631</f>
        <v>110.16077400860009</v>
      </c>
      <c r="J634" s="2">
        <f>Tyran!D631</f>
        <v>19.409836065573771</v>
      </c>
      <c r="K634" s="2">
        <f>Fardo!D631</f>
        <v>15.704918032786885</v>
      </c>
      <c r="L634" s="2">
        <f>Entworpe!D631</f>
        <v>12.5</v>
      </c>
      <c r="M634">
        <f t="shared" si="11"/>
        <v>61</v>
      </c>
    </row>
    <row r="635" spans="1:13" x14ac:dyDescent="0.2">
      <c r="A635">
        <v>631</v>
      </c>
      <c r="B635">
        <f>Calopeia!D267</f>
        <v>47</v>
      </c>
      <c r="C635">
        <f>Sorange!B632</f>
        <v>0</v>
      </c>
      <c r="D635">
        <f>Tyran!B632</f>
        <v>0</v>
      </c>
      <c r="E635">
        <f>Fardo!B632</f>
        <v>0</v>
      </c>
      <c r="F635" s="2">
        <f>Entworpe!B632</f>
        <v>0</v>
      </c>
      <c r="G635">
        <v>1361</v>
      </c>
      <c r="H635" s="2">
        <f>Calopeia!H267</f>
        <v>48.252086681863425</v>
      </c>
      <c r="I635" s="2">
        <f>Sorange!E632</f>
        <v>110.31342570473005</v>
      </c>
      <c r="J635" s="2">
        <f>Tyran!D632</f>
        <v>19.409836065573771</v>
      </c>
      <c r="K635" s="2">
        <f>Fardo!D632</f>
        <v>15.704918032786885</v>
      </c>
      <c r="L635" s="2">
        <f>Entworpe!D632</f>
        <v>12.5</v>
      </c>
      <c r="M635">
        <f t="shared" si="11"/>
        <v>47</v>
      </c>
    </row>
    <row r="636" spans="1:13" x14ac:dyDescent="0.2">
      <c r="A636">
        <v>632</v>
      </c>
      <c r="B636">
        <f>Calopeia!D268</f>
        <v>39</v>
      </c>
      <c r="C636">
        <f>Sorange!B633</f>
        <v>0</v>
      </c>
      <c r="D636">
        <f>Tyran!B633</f>
        <v>0</v>
      </c>
      <c r="E636">
        <f>Fardo!B633</f>
        <v>0</v>
      </c>
      <c r="F636" s="2">
        <f>Entworpe!B633</f>
        <v>0</v>
      </c>
      <c r="G636">
        <v>1362</v>
      </c>
      <c r="H636" s="2">
        <f>Calopeia!H268</f>
        <v>48.252086681863425</v>
      </c>
      <c r="I636" s="2">
        <f>Sorange!E633</f>
        <v>110.46607740086</v>
      </c>
      <c r="J636" s="2">
        <f>Tyran!D633</f>
        <v>19.409836065573771</v>
      </c>
      <c r="K636" s="2">
        <f>Fardo!D633</f>
        <v>15.704918032786885</v>
      </c>
      <c r="L636" s="2">
        <f>Entworpe!D633</f>
        <v>12.5</v>
      </c>
      <c r="M636">
        <f t="shared" si="11"/>
        <v>39</v>
      </c>
    </row>
    <row r="637" spans="1:13" x14ac:dyDescent="0.2">
      <c r="A637">
        <v>633</v>
      </c>
      <c r="B637">
        <f>Calopeia!D269</f>
        <v>49</v>
      </c>
      <c r="C637">
        <f>Sorange!B634</f>
        <v>0</v>
      </c>
      <c r="D637">
        <f>Tyran!B634</f>
        <v>0</v>
      </c>
      <c r="E637">
        <f>Fardo!B634</f>
        <v>0</v>
      </c>
      <c r="F637" s="2">
        <f>Entworpe!B634</f>
        <v>0</v>
      </c>
      <c r="G637">
        <v>1363</v>
      </c>
      <c r="H637" s="2">
        <f>Calopeia!H269</f>
        <v>48.252086681863425</v>
      </c>
      <c r="I637" s="2">
        <f>Sorange!E634</f>
        <v>110.61872909698995</v>
      </c>
      <c r="J637" s="2">
        <f>Tyran!D634</f>
        <v>19.409836065573771</v>
      </c>
      <c r="K637" s="2">
        <f>Fardo!D634</f>
        <v>15.704918032786885</v>
      </c>
      <c r="L637" s="2">
        <f>Entworpe!D634</f>
        <v>12.5</v>
      </c>
      <c r="M637">
        <f t="shared" si="11"/>
        <v>49</v>
      </c>
    </row>
    <row r="638" spans="1:13" x14ac:dyDescent="0.2">
      <c r="A638">
        <v>634</v>
      </c>
      <c r="B638">
        <f>Calopeia!D270</f>
        <v>54</v>
      </c>
      <c r="C638">
        <f>Sorange!B635</f>
        <v>0</v>
      </c>
      <c r="D638">
        <f>Tyran!B635</f>
        <v>0</v>
      </c>
      <c r="E638">
        <f>Fardo!B635</f>
        <v>0</v>
      </c>
      <c r="F638" s="2">
        <f>Entworpe!B635</f>
        <v>0</v>
      </c>
      <c r="G638">
        <v>1364</v>
      </c>
      <c r="H638" s="2">
        <f>Calopeia!H270</f>
        <v>48.252086681863425</v>
      </c>
      <c r="I638" s="2">
        <f>Sorange!E635</f>
        <v>110.77138079311992</v>
      </c>
      <c r="J638" s="2">
        <f>Tyran!D635</f>
        <v>19.409836065573771</v>
      </c>
      <c r="K638" s="2">
        <f>Fardo!D635</f>
        <v>15.704918032786885</v>
      </c>
      <c r="L638" s="2">
        <f>Entworpe!D635</f>
        <v>12.5</v>
      </c>
      <c r="M638">
        <f t="shared" si="11"/>
        <v>54</v>
      </c>
    </row>
    <row r="639" spans="1:13" x14ac:dyDescent="0.2">
      <c r="A639">
        <v>635</v>
      </c>
      <c r="B639">
        <f>Calopeia!D271</f>
        <v>25</v>
      </c>
      <c r="C639">
        <f>Sorange!B636</f>
        <v>0</v>
      </c>
      <c r="D639">
        <f>Tyran!B636</f>
        <v>0</v>
      </c>
      <c r="E639">
        <f>Fardo!B636</f>
        <v>0</v>
      </c>
      <c r="F639" s="2">
        <f>Entworpe!B636</f>
        <v>0</v>
      </c>
      <c r="G639">
        <v>1365</v>
      </c>
      <c r="H639" s="2">
        <f>Calopeia!H271</f>
        <v>48.252086681863425</v>
      </c>
      <c r="I639" s="2">
        <f>Sorange!E636</f>
        <v>110.92403248924987</v>
      </c>
      <c r="J639" s="2">
        <f>Tyran!D636</f>
        <v>19.409836065573771</v>
      </c>
      <c r="K639" s="2">
        <f>Fardo!D636</f>
        <v>15.704918032786885</v>
      </c>
      <c r="L639" s="2">
        <f>Entworpe!D636</f>
        <v>12.5</v>
      </c>
      <c r="M639">
        <f t="shared" si="11"/>
        <v>25</v>
      </c>
    </row>
    <row r="640" spans="1:13" x14ac:dyDescent="0.2">
      <c r="A640">
        <v>636</v>
      </c>
      <c r="B640">
        <f>Calopeia!D272</f>
        <v>32</v>
      </c>
      <c r="C640">
        <f>Sorange!B637</f>
        <v>0</v>
      </c>
      <c r="D640">
        <f>Tyran!B637</f>
        <v>0</v>
      </c>
      <c r="E640">
        <f>Fardo!B637</f>
        <v>0</v>
      </c>
      <c r="F640" s="2">
        <f>Entworpe!B637</f>
        <v>0</v>
      </c>
      <c r="G640">
        <v>1366</v>
      </c>
      <c r="H640" s="2">
        <f>Calopeia!H272</f>
        <v>48.252086681863425</v>
      </c>
      <c r="I640" s="2">
        <f>Sorange!E637</f>
        <v>111.07668418537983</v>
      </c>
      <c r="J640" s="2">
        <f>Tyran!D637</f>
        <v>19.409836065573771</v>
      </c>
      <c r="K640" s="2">
        <f>Fardo!D637</f>
        <v>15.704918032786885</v>
      </c>
      <c r="L640" s="2">
        <f>Entworpe!D637</f>
        <v>12.5</v>
      </c>
      <c r="M640">
        <f t="shared" si="11"/>
        <v>32</v>
      </c>
    </row>
    <row r="641" spans="1:13" x14ac:dyDescent="0.2">
      <c r="A641">
        <v>637</v>
      </c>
      <c r="B641">
        <f>Calopeia!D273</f>
        <v>31</v>
      </c>
      <c r="C641">
        <f>Sorange!B638</f>
        <v>0</v>
      </c>
      <c r="D641">
        <f>Tyran!B638</f>
        <v>0</v>
      </c>
      <c r="E641">
        <f>Fardo!B638</f>
        <v>0</v>
      </c>
      <c r="F641" s="2">
        <f>Entworpe!B638</f>
        <v>0</v>
      </c>
      <c r="G641">
        <v>1367</v>
      </c>
      <c r="H641" s="2">
        <f>Calopeia!H273</f>
        <v>48.252086681863425</v>
      </c>
      <c r="I641" s="2">
        <f>Sorange!E638</f>
        <v>111.22933588150978</v>
      </c>
      <c r="J641" s="2">
        <f>Tyran!D638</f>
        <v>19.409836065573771</v>
      </c>
      <c r="K641" s="2">
        <f>Fardo!D638</f>
        <v>15.704918032786885</v>
      </c>
      <c r="L641" s="2">
        <f>Entworpe!D638</f>
        <v>12.5</v>
      </c>
      <c r="M641">
        <f t="shared" si="11"/>
        <v>31</v>
      </c>
    </row>
    <row r="642" spans="1:13" x14ac:dyDescent="0.2">
      <c r="A642">
        <v>638</v>
      </c>
      <c r="B642">
        <f>Calopeia!D274</f>
        <v>36</v>
      </c>
      <c r="C642">
        <f>Sorange!B639</f>
        <v>0</v>
      </c>
      <c r="D642">
        <f>Tyran!B639</f>
        <v>0</v>
      </c>
      <c r="E642">
        <f>Fardo!B639</f>
        <v>0</v>
      </c>
      <c r="F642" s="2">
        <f>Entworpe!B639</f>
        <v>0</v>
      </c>
      <c r="G642">
        <v>1368</v>
      </c>
      <c r="H642" s="2">
        <f>Calopeia!H274</f>
        <v>48.252086681863425</v>
      </c>
      <c r="I642" s="2">
        <f>Sorange!E639</f>
        <v>111.38198757763975</v>
      </c>
      <c r="J642" s="2">
        <f>Tyran!D639</f>
        <v>19.409836065573771</v>
      </c>
      <c r="K642" s="2">
        <f>Fardo!D639</f>
        <v>15.704918032786885</v>
      </c>
      <c r="L642" s="2">
        <f>Entworpe!D639</f>
        <v>12.5</v>
      </c>
      <c r="M642">
        <f t="shared" si="11"/>
        <v>36</v>
      </c>
    </row>
    <row r="643" spans="1:13" x14ac:dyDescent="0.2">
      <c r="A643">
        <v>639</v>
      </c>
      <c r="B643">
        <f>Calopeia!D275</f>
        <v>48</v>
      </c>
      <c r="C643">
        <f>Sorange!B640</f>
        <v>0</v>
      </c>
      <c r="D643">
        <f>Tyran!B640</f>
        <v>0</v>
      </c>
      <c r="E643">
        <f>Fardo!B640</f>
        <v>0</v>
      </c>
      <c r="F643" s="2">
        <f>Entworpe!B640</f>
        <v>0</v>
      </c>
      <c r="G643">
        <v>1369</v>
      </c>
      <c r="H643" s="2">
        <f>Calopeia!H275</f>
        <v>48.252086681863425</v>
      </c>
      <c r="I643" s="2">
        <f>Sorange!E640</f>
        <v>111.5346392737697</v>
      </c>
      <c r="J643" s="2">
        <f>Tyran!D640</f>
        <v>19.409836065573771</v>
      </c>
      <c r="K643" s="2">
        <f>Fardo!D640</f>
        <v>15.704918032786885</v>
      </c>
      <c r="L643" s="2">
        <f>Entworpe!D640</f>
        <v>12.5</v>
      </c>
      <c r="M643">
        <f t="shared" si="11"/>
        <v>48</v>
      </c>
    </row>
    <row r="644" spans="1:13" x14ac:dyDescent="0.2">
      <c r="A644">
        <v>640</v>
      </c>
      <c r="B644">
        <f>Calopeia!D276</f>
        <v>32</v>
      </c>
      <c r="C644" s="5">
        <f>Sorange!B641</f>
        <v>17</v>
      </c>
      <c r="D644">
        <f>Tyran!B641</f>
        <v>5</v>
      </c>
      <c r="E644">
        <f>Fardo!B641</f>
        <v>3</v>
      </c>
      <c r="F644" s="2">
        <f>Entworpe!B641</f>
        <v>0</v>
      </c>
      <c r="G644">
        <v>1370</v>
      </c>
      <c r="H644" s="2">
        <f>Calopeia!H276</f>
        <v>48.252086681863425</v>
      </c>
      <c r="I644" s="2">
        <f>Sorange!E641</f>
        <v>111.68729096989966</v>
      </c>
      <c r="J644" s="2">
        <f>Tyran!D641</f>
        <v>19.409836065573771</v>
      </c>
      <c r="K644" s="2">
        <f>Fardo!D641</f>
        <v>15.704918032786885</v>
      </c>
      <c r="L644" s="2">
        <f>Entworpe!D641</f>
        <v>12.5</v>
      </c>
      <c r="M644">
        <f t="shared" si="11"/>
        <v>32</v>
      </c>
    </row>
    <row r="645" spans="1:13" x14ac:dyDescent="0.2">
      <c r="A645">
        <v>641</v>
      </c>
      <c r="B645">
        <f>Calopeia!D277</f>
        <v>50</v>
      </c>
      <c r="C645" s="5">
        <f>Sorange!B642</f>
        <v>0</v>
      </c>
      <c r="D645">
        <f>Tyran!B642</f>
        <v>0</v>
      </c>
      <c r="E645">
        <f>Fardo!B642</f>
        <v>0</v>
      </c>
      <c r="F645" s="2">
        <f>Entworpe!B642</f>
        <v>0</v>
      </c>
      <c r="G645">
        <v>1371</v>
      </c>
      <c r="H645" s="2">
        <f>Calopeia!H277</f>
        <v>48.252086681863425</v>
      </c>
      <c r="I645" s="2">
        <f>Sorange!E642</f>
        <v>111.83994266602961</v>
      </c>
      <c r="J645" s="2">
        <f>Tyran!D642</f>
        <v>19.409836065573771</v>
      </c>
      <c r="K645" s="2">
        <f>Fardo!D642</f>
        <v>15.704918032786885</v>
      </c>
      <c r="L645" s="2">
        <f>Entworpe!D642</f>
        <v>12.5</v>
      </c>
      <c r="M645">
        <f t="shared" si="11"/>
        <v>50</v>
      </c>
    </row>
    <row r="646" spans="1:13" x14ac:dyDescent="0.2">
      <c r="A646">
        <v>642</v>
      </c>
      <c r="B646">
        <f>Calopeia!D278</f>
        <v>21</v>
      </c>
      <c r="C646" s="5">
        <f>Sorange!B643</f>
        <v>0</v>
      </c>
      <c r="D646">
        <f>Tyran!B643</f>
        <v>0</v>
      </c>
      <c r="E646">
        <f>Fardo!B643</f>
        <v>0</v>
      </c>
      <c r="F646" s="2">
        <f>Entworpe!B643</f>
        <v>0</v>
      </c>
      <c r="G646">
        <v>1372</v>
      </c>
      <c r="H646" s="2">
        <f>Calopeia!H278</f>
        <v>48.252086681863425</v>
      </c>
      <c r="I646" s="2">
        <f>Sorange!E643</f>
        <v>111.99259436215956</v>
      </c>
      <c r="J646" s="2">
        <f>Tyran!D643</f>
        <v>19.409836065573771</v>
      </c>
      <c r="K646" s="2">
        <f>Fardo!D643</f>
        <v>15.704918032786885</v>
      </c>
      <c r="L646" s="2">
        <f>Entworpe!D643</f>
        <v>12.5</v>
      </c>
      <c r="M646">
        <f t="shared" ref="M646:M709" si="12">B646+F646</f>
        <v>21</v>
      </c>
    </row>
    <row r="647" spans="1:13" x14ac:dyDescent="0.2">
      <c r="A647">
        <v>643</v>
      </c>
      <c r="B647">
        <f>Calopeia!D279</f>
        <v>34</v>
      </c>
      <c r="C647" s="5">
        <f>Sorange!B644</f>
        <v>0</v>
      </c>
      <c r="D647">
        <f>Tyran!B644</f>
        <v>0</v>
      </c>
      <c r="E647">
        <f>Fardo!B644</f>
        <v>0</v>
      </c>
      <c r="F647" s="2">
        <f>Entworpe!B644</f>
        <v>0</v>
      </c>
      <c r="G647">
        <v>1373</v>
      </c>
      <c r="H647" s="2">
        <f>Calopeia!H279</f>
        <v>48.252086681863425</v>
      </c>
      <c r="I647" s="2">
        <f>Sorange!E644</f>
        <v>112.14524605828953</v>
      </c>
      <c r="J647" s="2">
        <f>Tyran!D644</f>
        <v>19.409836065573771</v>
      </c>
      <c r="K647" s="2">
        <f>Fardo!D644</f>
        <v>15.704918032786885</v>
      </c>
      <c r="L647" s="2">
        <f>Entworpe!D644</f>
        <v>12.5</v>
      </c>
      <c r="M647">
        <f t="shared" si="12"/>
        <v>34</v>
      </c>
    </row>
    <row r="648" spans="1:13" x14ac:dyDescent="0.2">
      <c r="A648">
        <v>644</v>
      </c>
      <c r="B648">
        <f>Calopeia!D280</f>
        <v>49</v>
      </c>
      <c r="C648" s="5">
        <f>Sorange!B645</f>
        <v>6</v>
      </c>
      <c r="D648">
        <f>Tyran!B645</f>
        <v>0</v>
      </c>
      <c r="E648">
        <f>Fardo!B645</f>
        <v>0</v>
      </c>
      <c r="F648" s="2">
        <f>Entworpe!B645</f>
        <v>0</v>
      </c>
      <c r="G648">
        <v>1374</v>
      </c>
      <c r="H648" s="2">
        <f>Calopeia!H280</f>
        <v>48.252086681863425</v>
      </c>
      <c r="I648" s="2">
        <f>Sorange!E645</f>
        <v>112.29789775441948</v>
      </c>
      <c r="J648" s="2">
        <f>Tyran!D645</f>
        <v>19.409836065573771</v>
      </c>
      <c r="K648" s="2">
        <f>Fardo!D645</f>
        <v>15.704918032786885</v>
      </c>
      <c r="L648" s="2">
        <f>Entworpe!D645</f>
        <v>12.5</v>
      </c>
      <c r="M648">
        <f t="shared" si="12"/>
        <v>49</v>
      </c>
    </row>
    <row r="649" spans="1:13" x14ac:dyDescent="0.2">
      <c r="A649">
        <v>645</v>
      </c>
      <c r="B649">
        <f>Calopeia!D281</f>
        <v>18</v>
      </c>
      <c r="C649" s="5">
        <f>Sorange!B646</f>
        <v>0</v>
      </c>
      <c r="D649">
        <f>Tyran!B646</f>
        <v>3</v>
      </c>
      <c r="E649">
        <f>Fardo!B646</f>
        <v>0</v>
      </c>
      <c r="F649" s="2">
        <f>Entworpe!B646</f>
        <v>250</v>
      </c>
      <c r="G649">
        <v>1375</v>
      </c>
      <c r="H649" s="2">
        <f>Calopeia!H281</f>
        <v>48.252086681863425</v>
      </c>
      <c r="I649" s="2">
        <f>Sorange!E646</f>
        <v>112.45054945054945</v>
      </c>
      <c r="J649" s="2">
        <f>Tyran!D646</f>
        <v>19.409836065573771</v>
      </c>
      <c r="K649" s="2">
        <f>Fardo!D646</f>
        <v>15.704918032786885</v>
      </c>
      <c r="L649" s="2">
        <f>Entworpe!D646</f>
        <v>12.5</v>
      </c>
      <c r="M649">
        <f t="shared" si="12"/>
        <v>268</v>
      </c>
    </row>
    <row r="650" spans="1:13" x14ac:dyDescent="0.2">
      <c r="A650">
        <v>646</v>
      </c>
      <c r="B650">
        <f>Calopeia!D282</f>
        <v>33</v>
      </c>
      <c r="C650" s="5">
        <f>Sorange!B647</f>
        <v>0</v>
      </c>
      <c r="D650">
        <f>Tyran!B647</f>
        <v>0</v>
      </c>
      <c r="E650">
        <f>Fardo!B647</f>
        <v>0</v>
      </c>
      <c r="F650" s="2">
        <f>Entworpe!B647</f>
        <v>0</v>
      </c>
      <c r="G650">
        <v>1376</v>
      </c>
      <c r="H650" s="2">
        <f>Calopeia!H282</f>
        <v>48.252086681863425</v>
      </c>
      <c r="I650" s="2">
        <f>Sorange!E647</f>
        <v>112.6032011466794</v>
      </c>
      <c r="J650" s="2">
        <f>Tyran!D647</f>
        <v>19.409836065573771</v>
      </c>
      <c r="K650" s="2">
        <f>Fardo!D647</f>
        <v>15.704918032786885</v>
      </c>
      <c r="L650" s="2">
        <f>Entworpe!D647</f>
        <v>12.5</v>
      </c>
      <c r="M650">
        <f t="shared" si="12"/>
        <v>33</v>
      </c>
    </row>
    <row r="651" spans="1:13" x14ac:dyDescent="0.2">
      <c r="A651">
        <v>647</v>
      </c>
      <c r="B651">
        <f>Calopeia!D283</f>
        <v>30</v>
      </c>
      <c r="C651" s="5">
        <f>Sorange!B648</f>
        <v>0</v>
      </c>
      <c r="D651">
        <f>Tyran!B648</f>
        <v>0</v>
      </c>
      <c r="E651">
        <f>Fardo!B648</f>
        <v>1</v>
      </c>
      <c r="F651" s="2">
        <f>Entworpe!B648</f>
        <v>0</v>
      </c>
      <c r="G651">
        <v>1377</v>
      </c>
      <c r="H651" s="2">
        <f>Calopeia!H283</f>
        <v>48.252086681863425</v>
      </c>
      <c r="I651" s="2">
        <f>Sorange!E648</f>
        <v>112.75585284280936</v>
      </c>
      <c r="J651" s="2">
        <f>Tyran!D648</f>
        <v>19.409836065573771</v>
      </c>
      <c r="K651" s="2">
        <f>Fardo!D648</f>
        <v>15.704918032786885</v>
      </c>
      <c r="L651" s="2">
        <f>Entworpe!D648</f>
        <v>12.5</v>
      </c>
      <c r="M651">
        <f t="shared" si="12"/>
        <v>30</v>
      </c>
    </row>
    <row r="652" spans="1:13" x14ac:dyDescent="0.2">
      <c r="A652">
        <v>648</v>
      </c>
      <c r="B652">
        <f>Calopeia!D284</f>
        <v>35</v>
      </c>
      <c r="C652" s="5">
        <f>Sorange!B649</f>
        <v>0</v>
      </c>
      <c r="D652">
        <f>Tyran!B649</f>
        <v>3</v>
      </c>
      <c r="E652">
        <f>Fardo!B649</f>
        <v>0</v>
      </c>
      <c r="F652" s="2">
        <f>Entworpe!B649</f>
        <v>0</v>
      </c>
      <c r="G652">
        <v>1378</v>
      </c>
      <c r="H652" s="2">
        <f>Calopeia!H284</f>
        <v>48.252086681863425</v>
      </c>
      <c r="I652" s="2">
        <f>Sorange!E649</f>
        <v>112.90850453893931</v>
      </c>
      <c r="J652" s="2">
        <f>Tyran!D649</f>
        <v>19.409836065573771</v>
      </c>
      <c r="K652" s="2">
        <f>Fardo!D649</f>
        <v>15.704918032786885</v>
      </c>
      <c r="L652" s="2">
        <f>Entworpe!D649</f>
        <v>12.5</v>
      </c>
      <c r="M652">
        <f t="shared" si="12"/>
        <v>35</v>
      </c>
    </row>
    <row r="653" spans="1:13" x14ac:dyDescent="0.2">
      <c r="A653">
        <v>649</v>
      </c>
      <c r="B653">
        <f>Calopeia!D285</f>
        <v>18</v>
      </c>
      <c r="C653" s="5">
        <f>Sorange!B650</f>
        <v>0</v>
      </c>
      <c r="D653">
        <f>Tyran!B650</f>
        <v>0</v>
      </c>
      <c r="E653">
        <f>Fardo!B650</f>
        <v>7</v>
      </c>
      <c r="F653" s="2">
        <f>Entworpe!B650</f>
        <v>0</v>
      </c>
      <c r="G653">
        <v>1379</v>
      </c>
      <c r="H653" s="2">
        <f>Calopeia!H285</f>
        <v>48.252086681863425</v>
      </c>
      <c r="I653" s="2">
        <f>Sorange!E650</f>
        <v>113.06115623506928</v>
      </c>
      <c r="J653" s="2">
        <f>Tyran!D650</f>
        <v>19.409836065573771</v>
      </c>
      <c r="K653" s="2">
        <f>Fardo!D650</f>
        <v>15.704918032786885</v>
      </c>
      <c r="L653" s="2">
        <f>Entworpe!D650</f>
        <v>12.5</v>
      </c>
      <c r="M653">
        <f t="shared" si="12"/>
        <v>18</v>
      </c>
    </row>
    <row r="654" spans="1:13" x14ac:dyDescent="0.2">
      <c r="A654">
        <v>650</v>
      </c>
      <c r="B654">
        <f>Calopeia!D286</f>
        <v>33</v>
      </c>
      <c r="C654" s="5">
        <f>Sorange!B651</f>
        <v>0</v>
      </c>
      <c r="D654">
        <f>Tyran!B651</f>
        <v>9</v>
      </c>
      <c r="E654">
        <f>Fardo!B651</f>
        <v>0</v>
      </c>
      <c r="F654" s="2">
        <f>Entworpe!B651</f>
        <v>0</v>
      </c>
      <c r="G654">
        <v>1380</v>
      </c>
      <c r="H654" s="2">
        <f>Calopeia!H286</f>
        <v>48.252086681863425</v>
      </c>
      <c r="I654" s="2">
        <f>Sorange!E651</f>
        <v>113.21380793119923</v>
      </c>
      <c r="J654" s="2">
        <f>Tyran!D651</f>
        <v>19.409836065573771</v>
      </c>
      <c r="K654" s="2">
        <f>Fardo!D651</f>
        <v>15.704918032786885</v>
      </c>
      <c r="L654" s="2">
        <f>Entworpe!D651</f>
        <v>12.5</v>
      </c>
      <c r="M654">
        <f t="shared" si="12"/>
        <v>33</v>
      </c>
    </row>
    <row r="655" spans="1:13" x14ac:dyDescent="0.2">
      <c r="A655">
        <v>651</v>
      </c>
      <c r="B655">
        <f>Calopeia!D287</f>
        <v>26</v>
      </c>
      <c r="C655" s="5">
        <f>Sorange!B652</f>
        <v>0</v>
      </c>
      <c r="D655">
        <f>Tyran!B652</f>
        <v>0</v>
      </c>
      <c r="E655">
        <f>Fardo!B652</f>
        <v>12</v>
      </c>
      <c r="F655" s="2">
        <f>Entworpe!B652</f>
        <v>0</v>
      </c>
      <c r="G655">
        <v>1381</v>
      </c>
      <c r="H655" s="2">
        <f>Calopeia!H287</f>
        <v>48.252086681863425</v>
      </c>
      <c r="I655" s="2">
        <f>Sorange!E652</f>
        <v>113.36645962732918</v>
      </c>
      <c r="J655" s="2">
        <f>Tyran!D652</f>
        <v>19.409836065573771</v>
      </c>
      <c r="K655" s="2">
        <f>Fardo!D652</f>
        <v>15.704918032786885</v>
      </c>
      <c r="L655" s="2">
        <f>Entworpe!D652</f>
        <v>12.5</v>
      </c>
      <c r="M655">
        <f t="shared" si="12"/>
        <v>26</v>
      </c>
    </row>
    <row r="656" spans="1:13" x14ac:dyDescent="0.2">
      <c r="A656">
        <v>652</v>
      </c>
      <c r="B656">
        <f>Calopeia!D288</f>
        <v>34</v>
      </c>
      <c r="C656" s="5">
        <f>Sorange!B653</f>
        <v>0</v>
      </c>
      <c r="D656">
        <f>Tyran!B653</f>
        <v>3</v>
      </c>
      <c r="E656">
        <f>Fardo!B653</f>
        <v>0</v>
      </c>
      <c r="F656" s="2">
        <f>Entworpe!B653</f>
        <v>0</v>
      </c>
      <c r="G656">
        <v>1382</v>
      </c>
      <c r="H656" s="2">
        <f>Calopeia!H288</f>
        <v>48.252086681863425</v>
      </c>
      <c r="I656" s="2">
        <f>Sorange!E653</f>
        <v>113.51911132345914</v>
      </c>
      <c r="J656" s="2">
        <f>Tyran!D653</f>
        <v>19.409836065573771</v>
      </c>
      <c r="K656" s="2">
        <f>Fardo!D653</f>
        <v>15.704918032786885</v>
      </c>
      <c r="L656" s="2">
        <f>Entworpe!D653</f>
        <v>12.5</v>
      </c>
      <c r="M656">
        <f t="shared" si="12"/>
        <v>34</v>
      </c>
    </row>
    <row r="657" spans="1:13" x14ac:dyDescent="0.2">
      <c r="A657">
        <v>653</v>
      </c>
      <c r="B657">
        <f>Calopeia!D289</f>
        <v>34</v>
      </c>
      <c r="C657" s="5">
        <f>Sorange!B654</f>
        <v>0</v>
      </c>
      <c r="D657">
        <f>Tyran!B654</f>
        <v>12</v>
      </c>
      <c r="E657">
        <f>Fardo!B654</f>
        <v>21</v>
      </c>
      <c r="F657" s="2">
        <f>Entworpe!B654</f>
        <v>0</v>
      </c>
      <c r="G657">
        <v>1383</v>
      </c>
      <c r="H657" s="2">
        <f>Calopeia!H289</f>
        <v>48.252086681863425</v>
      </c>
      <c r="I657" s="2">
        <f>Sorange!E654</f>
        <v>113.67176301958909</v>
      </c>
      <c r="J657" s="2">
        <f>Tyran!D654</f>
        <v>19.409836065573771</v>
      </c>
      <c r="K657" s="2">
        <f>Fardo!D654</f>
        <v>15.704918032786885</v>
      </c>
      <c r="L657" s="2">
        <f>Entworpe!D654</f>
        <v>12.5</v>
      </c>
      <c r="M657">
        <f t="shared" si="12"/>
        <v>34</v>
      </c>
    </row>
    <row r="658" spans="1:13" x14ac:dyDescent="0.2">
      <c r="A658">
        <v>654</v>
      </c>
      <c r="B658">
        <f>Calopeia!D290</f>
        <v>30</v>
      </c>
      <c r="C658" s="5">
        <f>Sorange!B655</f>
        <v>0</v>
      </c>
      <c r="D658">
        <f>Tyran!B655</f>
        <v>4</v>
      </c>
      <c r="E658">
        <f>Fardo!B655</f>
        <v>4</v>
      </c>
      <c r="F658" s="2">
        <f>Entworpe!B655</f>
        <v>0</v>
      </c>
      <c r="G658">
        <v>1384</v>
      </c>
      <c r="H658" s="2">
        <f>Calopeia!H290</f>
        <v>48.252086681863425</v>
      </c>
      <c r="I658" s="2">
        <f>Sorange!E655</f>
        <v>113.82441471571906</v>
      </c>
      <c r="J658" s="2">
        <f>Tyran!D655</f>
        <v>19.409836065573771</v>
      </c>
      <c r="K658" s="2">
        <f>Fardo!D655</f>
        <v>15.704918032786885</v>
      </c>
      <c r="L658" s="2">
        <f>Entworpe!D655</f>
        <v>12.5</v>
      </c>
      <c r="M658">
        <f t="shared" si="12"/>
        <v>30</v>
      </c>
    </row>
    <row r="659" spans="1:13" x14ac:dyDescent="0.2">
      <c r="A659">
        <v>655</v>
      </c>
      <c r="B659">
        <f>Calopeia!D291</f>
        <v>37</v>
      </c>
      <c r="C659" s="5">
        <f>Sorange!B656</f>
        <v>0</v>
      </c>
      <c r="D659">
        <f>Tyran!B656</f>
        <v>3</v>
      </c>
      <c r="E659">
        <f>Fardo!B656</f>
        <v>6</v>
      </c>
      <c r="F659" s="2">
        <f>Entworpe!B656</f>
        <v>0</v>
      </c>
      <c r="G659">
        <v>1385</v>
      </c>
      <c r="H659" s="2">
        <f>Calopeia!H291</f>
        <v>48.252086681863425</v>
      </c>
      <c r="I659" s="2">
        <f>Sorange!E656</f>
        <v>113.97706641184901</v>
      </c>
      <c r="J659" s="2">
        <f>Tyran!D656</f>
        <v>19.409836065573771</v>
      </c>
      <c r="K659" s="2">
        <f>Fardo!D656</f>
        <v>15.704918032786885</v>
      </c>
      <c r="L659" s="2">
        <f>Entworpe!D656</f>
        <v>12.5</v>
      </c>
      <c r="M659">
        <f t="shared" si="12"/>
        <v>37</v>
      </c>
    </row>
    <row r="660" spans="1:13" x14ac:dyDescent="0.2">
      <c r="A660">
        <v>656</v>
      </c>
      <c r="B660">
        <f>Calopeia!D292</f>
        <v>65</v>
      </c>
      <c r="C660" s="5">
        <f>Sorange!B657</f>
        <v>0</v>
      </c>
      <c r="D660">
        <f>Tyran!B657</f>
        <v>2</v>
      </c>
      <c r="E660">
        <f>Fardo!B657</f>
        <v>10</v>
      </c>
      <c r="F660" s="2">
        <f>Entworpe!B657</f>
        <v>0</v>
      </c>
      <c r="G660">
        <v>1386</v>
      </c>
      <c r="H660" s="2">
        <f>Calopeia!H292</f>
        <v>48.252086681863425</v>
      </c>
      <c r="I660" s="2">
        <f>Sorange!E657</f>
        <v>114.12971810797897</v>
      </c>
      <c r="J660" s="2">
        <f>Tyran!D657</f>
        <v>19.409836065573771</v>
      </c>
      <c r="K660" s="2">
        <f>Fardo!D657</f>
        <v>15.704918032786885</v>
      </c>
      <c r="L660" s="2">
        <f>Entworpe!D657</f>
        <v>12.5</v>
      </c>
      <c r="M660">
        <f t="shared" si="12"/>
        <v>65</v>
      </c>
    </row>
    <row r="661" spans="1:13" x14ac:dyDescent="0.2">
      <c r="A661">
        <v>657</v>
      </c>
      <c r="B661">
        <f>Calopeia!D293</f>
        <v>16</v>
      </c>
      <c r="C661" s="5">
        <f>Sorange!B658</f>
        <v>0</v>
      </c>
      <c r="D661">
        <f>Tyran!B658</f>
        <v>10</v>
      </c>
      <c r="E661">
        <f>Fardo!B658</f>
        <v>19</v>
      </c>
      <c r="F661" s="2">
        <f>Entworpe!B658</f>
        <v>0</v>
      </c>
      <c r="G661">
        <v>1387</v>
      </c>
      <c r="H661" s="2">
        <f>Calopeia!H293</f>
        <v>48.252086681863425</v>
      </c>
      <c r="I661" s="2">
        <f>Sorange!E658</f>
        <v>114.28236980410892</v>
      </c>
      <c r="J661" s="2">
        <f>Tyran!D658</f>
        <v>19.409836065573771</v>
      </c>
      <c r="K661" s="2">
        <f>Fardo!D658</f>
        <v>15.704918032786885</v>
      </c>
      <c r="L661" s="2">
        <f>Entworpe!D658</f>
        <v>12.5</v>
      </c>
      <c r="M661">
        <f t="shared" si="12"/>
        <v>16</v>
      </c>
    </row>
    <row r="662" spans="1:13" x14ac:dyDescent="0.2">
      <c r="A662">
        <v>658</v>
      </c>
      <c r="B662">
        <f>Calopeia!D294</f>
        <v>15</v>
      </c>
      <c r="C662" s="5">
        <f>Sorange!B659</f>
        <v>0</v>
      </c>
      <c r="D662">
        <f>Tyran!B659</f>
        <v>5</v>
      </c>
      <c r="E662">
        <f>Fardo!B659</f>
        <v>8</v>
      </c>
      <c r="F662" s="2">
        <f>Entworpe!B659</f>
        <v>0</v>
      </c>
      <c r="G662">
        <v>1388</v>
      </c>
      <c r="H662" s="2">
        <f>Calopeia!H294</f>
        <v>14.329162124156674</v>
      </c>
      <c r="I662" s="2">
        <f>Sorange!E659</f>
        <v>114.43502150023889</v>
      </c>
      <c r="J662" s="2">
        <f>Tyran!D659</f>
        <v>19.409836065573771</v>
      </c>
      <c r="K662" s="2">
        <f>Fardo!D659</f>
        <v>15.704918032786885</v>
      </c>
      <c r="L662" s="2">
        <f>Entworpe!D659</f>
        <v>12.5</v>
      </c>
      <c r="M662">
        <f t="shared" si="12"/>
        <v>15</v>
      </c>
    </row>
    <row r="663" spans="1:13" x14ac:dyDescent="0.2">
      <c r="A663">
        <v>659</v>
      </c>
      <c r="B663">
        <f>Calopeia!D295</f>
        <v>17</v>
      </c>
      <c r="C663" s="5">
        <f>Sorange!B660</f>
        <v>4</v>
      </c>
      <c r="D663">
        <f>Tyran!B660</f>
        <v>6</v>
      </c>
      <c r="E663">
        <f>Fardo!B660</f>
        <v>13</v>
      </c>
      <c r="F663" s="2">
        <f>Entworpe!B660</f>
        <v>0</v>
      </c>
      <c r="G663">
        <v>1389</v>
      </c>
      <c r="H663" s="2">
        <f>Calopeia!H295</f>
        <v>14.329162124156674</v>
      </c>
      <c r="I663" s="2">
        <f>Sorange!E660</f>
        <v>114.58767319636884</v>
      </c>
      <c r="J663" s="2">
        <f>Tyran!D660</f>
        <v>19.409836065573771</v>
      </c>
      <c r="K663" s="2">
        <f>Fardo!D660</f>
        <v>15.704918032786885</v>
      </c>
      <c r="L663" s="2">
        <f>Entworpe!D660</f>
        <v>12.5</v>
      </c>
      <c r="M663">
        <f t="shared" si="12"/>
        <v>17</v>
      </c>
    </row>
    <row r="664" spans="1:13" x14ac:dyDescent="0.2">
      <c r="A664">
        <v>660</v>
      </c>
      <c r="B664">
        <f>Calopeia!D296</f>
        <v>14</v>
      </c>
      <c r="C664" s="5">
        <f>Sorange!B661</f>
        <v>0</v>
      </c>
      <c r="D664">
        <f>Tyran!B661</f>
        <v>8</v>
      </c>
      <c r="E664">
        <f>Fardo!B661</f>
        <v>31</v>
      </c>
      <c r="F664" s="2">
        <f>Entworpe!B661</f>
        <v>0</v>
      </c>
      <c r="G664">
        <v>1390</v>
      </c>
      <c r="H664" s="2">
        <f>Calopeia!H296</f>
        <v>14.329162124156674</v>
      </c>
      <c r="I664" s="2">
        <f>Sorange!E661</f>
        <v>114.74032489249879</v>
      </c>
      <c r="J664" s="2">
        <f>Tyran!D661</f>
        <v>19.409836065573771</v>
      </c>
      <c r="K664" s="2">
        <f>Fardo!D661</f>
        <v>15.704918032786885</v>
      </c>
      <c r="L664" s="2">
        <f>Entworpe!D661</f>
        <v>12.5</v>
      </c>
      <c r="M664">
        <f t="shared" si="12"/>
        <v>14</v>
      </c>
    </row>
    <row r="665" spans="1:13" x14ac:dyDescent="0.2">
      <c r="A665">
        <v>661</v>
      </c>
      <c r="B665">
        <f>Calopeia!D297</f>
        <v>54</v>
      </c>
      <c r="C665" s="5">
        <f>Sorange!B662</f>
        <v>0</v>
      </c>
      <c r="D665">
        <f>Tyran!B662</f>
        <v>31</v>
      </c>
      <c r="E665">
        <f>Fardo!B662</f>
        <v>7</v>
      </c>
      <c r="F665" s="2">
        <f>Entworpe!B662</f>
        <v>0</v>
      </c>
      <c r="G665">
        <v>1391</v>
      </c>
      <c r="H665" s="2">
        <f>Calopeia!H297</f>
        <v>14.329162124156674</v>
      </c>
      <c r="I665" s="2">
        <f>Sorange!E662</f>
        <v>114.89297658862876</v>
      </c>
      <c r="J665" s="2">
        <f>Tyran!D662</f>
        <v>19.409836065573771</v>
      </c>
      <c r="K665" s="2">
        <f>Fardo!D662</f>
        <v>15.704918032786885</v>
      </c>
      <c r="L665" s="2">
        <f>Entworpe!D662</f>
        <v>12.5</v>
      </c>
      <c r="M665">
        <f t="shared" si="12"/>
        <v>54</v>
      </c>
    </row>
    <row r="666" spans="1:13" x14ac:dyDescent="0.2">
      <c r="A666">
        <v>662</v>
      </c>
      <c r="B666">
        <f>Calopeia!D298</f>
        <v>17</v>
      </c>
      <c r="C666" s="5">
        <f>Sorange!B663</f>
        <v>14</v>
      </c>
      <c r="D666">
        <f>Tyran!B663</f>
        <v>4</v>
      </c>
      <c r="E666">
        <f>Fardo!B663</f>
        <v>50</v>
      </c>
      <c r="F666" s="2">
        <f>Entworpe!B663</f>
        <v>0</v>
      </c>
      <c r="G666">
        <v>1392</v>
      </c>
      <c r="H666" s="2">
        <f>Calopeia!H298</f>
        <v>14.329162124156674</v>
      </c>
      <c r="I666" s="2">
        <f>Sorange!E663</f>
        <v>115.04562828475871</v>
      </c>
      <c r="J666" s="2">
        <f>Tyran!D663</f>
        <v>19.409836065573771</v>
      </c>
      <c r="K666" s="2">
        <f>Fardo!D663</f>
        <v>15.704918032786885</v>
      </c>
      <c r="L666" s="2">
        <f>Entworpe!D663</f>
        <v>12.5</v>
      </c>
      <c r="M666">
        <f t="shared" si="12"/>
        <v>17</v>
      </c>
    </row>
    <row r="667" spans="1:13" x14ac:dyDescent="0.2">
      <c r="A667">
        <v>663</v>
      </c>
      <c r="B667">
        <f>Calopeia!D299</f>
        <v>33</v>
      </c>
      <c r="C667" s="5">
        <f>Sorange!B664</f>
        <v>0</v>
      </c>
      <c r="D667">
        <f>Tyran!B664</f>
        <v>34</v>
      </c>
      <c r="E667">
        <f>Fardo!B664</f>
        <v>29</v>
      </c>
      <c r="F667" s="2">
        <f>Entworpe!B664</f>
        <v>0</v>
      </c>
      <c r="G667">
        <v>1393</v>
      </c>
      <c r="H667" s="2">
        <f>Calopeia!H299</f>
        <v>14.329162124156674</v>
      </c>
      <c r="I667" s="2">
        <f>Sorange!E664</f>
        <v>115.19827998088867</v>
      </c>
      <c r="J667" s="2">
        <f>Tyran!D664</f>
        <v>19.409836065573771</v>
      </c>
      <c r="K667" s="2">
        <f>Fardo!D664</f>
        <v>15.704918032786885</v>
      </c>
      <c r="L667" s="2">
        <f>Entworpe!D664</f>
        <v>12.5</v>
      </c>
      <c r="M667">
        <f t="shared" si="12"/>
        <v>33</v>
      </c>
    </row>
    <row r="668" spans="1:13" x14ac:dyDescent="0.2">
      <c r="A668">
        <v>664</v>
      </c>
      <c r="B668">
        <f>Calopeia!D300</f>
        <v>12</v>
      </c>
      <c r="C668" s="5">
        <f>Sorange!B665</f>
        <v>5</v>
      </c>
      <c r="D668">
        <f>Tyran!B665</f>
        <v>35</v>
      </c>
      <c r="E668">
        <f>Fardo!B665</f>
        <v>62</v>
      </c>
      <c r="F668" s="2">
        <f>Entworpe!B665</f>
        <v>0</v>
      </c>
      <c r="G668">
        <v>1394</v>
      </c>
      <c r="H668" s="2">
        <f>Calopeia!H300</f>
        <v>14.329162124156674</v>
      </c>
      <c r="I668" s="2">
        <f>Sorange!E665</f>
        <v>115.35093167701862</v>
      </c>
      <c r="J668" s="2">
        <f>Tyran!D665</f>
        <v>19.409836065573771</v>
      </c>
      <c r="K668" s="2">
        <f>Fardo!D665</f>
        <v>15.704918032786885</v>
      </c>
      <c r="L668" s="2">
        <f>Entworpe!D665</f>
        <v>12.5</v>
      </c>
      <c r="M668">
        <f t="shared" si="12"/>
        <v>12</v>
      </c>
    </row>
    <row r="669" spans="1:13" x14ac:dyDescent="0.2">
      <c r="A669">
        <v>665</v>
      </c>
      <c r="B669">
        <f>Calopeia!D301</f>
        <v>15</v>
      </c>
      <c r="C669" s="5">
        <f>Sorange!B666</f>
        <v>0</v>
      </c>
      <c r="D669">
        <f>Tyran!B666</f>
        <v>7</v>
      </c>
      <c r="E669">
        <f>Fardo!B666</f>
        <v>5</v>
      </c>
      <c r="F669" s="2">
        <f>Entworpe!B666</f>
        <v>0</v>
      </c>
      <c r="G669">
        <v>1395</v>
      </c>
      <c r="H669" s="2">
        <f>Calopeia!H301</f>
        <v>14.329162124156674</v>
      </c>
      <c r="I669" s="2">
        <f>Sorange!E666</f>
        <v>115.50358337314859</v>
      </c>
      <c r="J669" s="2">
        <f>Tyran!D666</f>
        <v>19.409836065573771</v>
      </c>
      <c r="K669" s="2">
        <f>Fardo!D666</f>
        <v>15.704918032786885</v>
      </c>
      <c r="L669" s="2">
        <f>Entworpe!D666</f>
        <v>12.5</v>
      </c>
      <c r="M669">
        <f t="shared" si="12"/>
        <v>15</v>
      </c>
    </row>
    <row r="670" spans="1:13" x14ac:dyDescent="0.2">
      <c r="A670">
        <v>666</v>
      </c>
      <c r="B670">
        <f>Calopeia!D302</f>
        <v>21</v>
      </c>
      <c r="C670" s="5">
        <f>Sorange!B667</f>
        <v>0</v>
      </c>
      <c r="D670">
        <f>Tyran!B667</f>
        <v>6</v>
      </c>
      <c r="E670">
        <f>Fardo!B667</f>
        <v>12</v>
      </c>
      <c r="F670" s="2">
        <f>Entworpe!B667</f>
        <v>0</v>
      </c>
      <c r="G670">
        <v>1396</v>
      </c>
      <c r="H670" s="2">
        <f>Calopeia!H302</f>
        <v>14.329162124156674</v>
      </c>
      <c r="I670" s="2">
        <f>Sorange!E667</f>
        <v>115.65623506927854</v>
      </c>
      <c r="J670" s="2">
        <f>Tyran!D667</f>
        <v>19.409836065573771</v>
      </c>
      <c r="K670" s="2">
        <f>Fardo!D667</f>
        <v>15.704918032786885</v>
      </c>
      <c r="L670" s="2">
        <f>Entworpe!D667</f>
        <v>12.5</v>
      </c>
      <c r="M670">
        <f t="shared" si="12"/>
        <v>21</v>
      </c>
    </row>
    <row r="671" spans="1:13" x14ac:dyDescent="0.2">
      <c r="A671">
        <v>667</v>
      </c>
      <c r="B671">
        <f>Calopeia!D303</f>
        <v>16</v>
      </c>
      <c r="C671" s="5">
        <f>Sorange!B668</f>
        <v>2</v>
      </c>
      <c r="D671">
        <f>Tyran!B668</f>
        <v>11</v>
      </c>
      <c r="E671">
        <f>Fardo!B668</f>
        <v>9</v>
      </c>
      <c r="F671" s="2">
        <f>Entworpe!B668</f>
        <v>0</v>
      </c>
      <c r="G671">
        <v>1397</v>
      </c>
      <c r="H671" s="2">
        <f>Calopeia!H303</f>
        <v>14.329162124156674</v>
      </c>
      <c r="I671" s="2">
        <f>Sorange!E668</f>
        <v>115.8088867654085</v>
      </c>
      <c r="J671" s="2">
        <f>Tyran!D668</f>
        <v>19.409836065573771</v>
      </c>
      <c r="K671" s="2">
        <f>Fardo!D668</f>
        <v>15.704918032786885</v>
      </c>
      <c r="L671" s="2">
        <f>Entworpe!D668</f>
        <v>12.5</v>
      </c>
      <c r="M671">
        <f t="shared" si="12"/>
        <v>16</v>
      </c>
    </row>
    <row r="672" spans="1:13" x14ac:dyDescent="0.2">
      <c r="A672">
        <v>668</v>
      </c>
      <c r="B672">
        <f>Calopeia!D304</f>
        <v>24</v>
      </c>
      <c r="C672" s="5">
        <f>Sorange!B669</f>
        <v>0</v>
      </c>
      <c r="D672">
        <f>Tyran!B669</f>
        <v>17</v>
      </c>
      <c r="E672">
        <f>Fardo!B669</f>
        <v>11</v>
      </c>
      <c r="F672" s="2">
        <f>Entworpe!B669</f>
        <v>0</v>
      </c>
      <c r="G672">
        <v>1398</v>
      </c>
      <c r="H672" s="2">
        <f>Calopeia!H304</f>
        <v>14.329162124156674</v>
      </c>
      <c r="I672" s="2">
        <f>Sorange!E669</f>
        <v>115.96153846153845</v>
      </c>
      <c r="J672" s="2">
        <f>Tyran!D669</f>
        <v>19.409836065573771</v>
      </c>
      <c r="K672" s="2">
        <f>Fardo!D669</f>
        <v>15.704918032786885</v>
      </c>
      <c r="L672" s="2">
        <f>Entworpe!D669</f>
        <v>12.5</v>
      </c>
      <c r="M672">
        <f t="shared" si="12"/>
        <v>24</v>
      </c>
    </row>
    <row r="673" spans="1:13" x14ac:dyDescent="0.2">
      <c r="A673">
        <v>669</v>
      </c>
      <c r="B673">
        <f>Calopeia!D305</f>
        <v>19</v>
      </c>
      <c r="C673" s="5">
        <f>Sorange!B670</f>
        <v>5</v>
      </c>
      <c r="D673">
        <f>Tyran!B670</f>
        <v>19</v>
      </c>
      <c r="E673">
        <f>Fardo!B670</f>
        <v>5</v>
      </c>
      <c r="F673" s="2">
        <f>Entworpe!B670</f>
        <v>0</v>
      </c>
      <c r="G673">
        <v>1399</v>
      </c>
      <c r="H673" s="2">
        <f>Calopeia!H305</f>
        <v>14.329162124156674</v>
      </c>
      <c r="I673" s="2">
        <f>Sorange!E670</f>
        <v>116.1141901576684</v>
      </c>
      <c r="J673" s="2">
        <f>Tyran!D670</f>
        <v>19.409836065573771</v>
      </c>
      <c r="K673" s="2">
        <f>Fardo!D670</f>
        <v>15.704918032786885</v>
      </c>
      <c r="L673" s="2">
        <f>Entworpe!D670</f>
        <v>12.5</v>
      </c>
      <c r="M673">
        <f t="shared" si="12"/>
        <v>19</v>
      </c>
    </row>
    <row r="674" spans="1:13" x14ac:dyDescent="0.2">
      <c r="A674">
        <v>670</v>
      </c>
      <c r="B674">
        <f>Calopeia!D306</f>
        <v>10</v>
      </c>
      <c r="C674" s="5">
        <f>Sorange!B671</f>
        <v>6</v>
      </c>
      <c r="D674" s="5">
        <f>Tyran!B671</f>
        <v>16</v>
      </c>
      <c r="E674" s="5">
        <f>Fardo!B671</f>
        <v>23</v>
      </c>
      <c r="F674" s="38">
        <f>Entworpe!B671</f>
        <v>250</v>
      </c>
      <c r="G674">
        <v>1400</v>
      </c>
      <c r="H674" s="2">
        <f>Calopeia!H306</f>
        <v>14.329162124156674</v>
      </c>
      <c r="I674" s="2">
        <f>Sorange!E671</f>
        <v>116.26684185379837</v>
      </c>
      <c r="J674" s="2">
        <f>Tyran!D671</f>
        <v>19.409836065573771</v>
      </c>
      <c r="K674" s="2">
        <f>Fardo!D671</f>
        <v>15.704918032786885</v>
      </c>
      <c r="L674" s="2">
        <f>Entworpe!D671</f>
        <v>12.5</v>
      </c>
      <c r="M674">
        <f t="shared" si="12"/>
        <v>260</v>
      </c>
    </row>
    <row r="675" spans="1:13" x14ac:dyDescent="0.2">
      <c r="A675">
        <v>671</v>
      </c>
      <c r="B675">
        <f>Calopeia!D307</f>
        <v>26</v>
      </c>
      <c r="C675" s="5">
        <f>Sorange!B672</f>
        <v>0</v>
      </c>
      <c r="D675" s="5">
        <f>Tyran!B672</f>
        <v>25</v>
      </c>
      <c r="E675" s="5">
        <f>Fardo!B672</f>
        <v>60</v>
      </c>
      <c r="F675" s="38">
        <f>Entworpe!B672</f>
        <v>0</v>
      </c>
      <c r="G675">
        <v>1401</v>
      </c>
      <c r="H675" s="2">
        <f>Calopeia!H307</f>
        <v>14.329162124156674</v>
      </c>
      <c r="I675" s="2">
        <f>Sorange!E672</f>
        <v>116.41949354992832</v>
      </c>
      <c r="J675" s="2">
        <f>Tyran!D672</f>
        <v>19.409836065573771</v>
      </c>
      <c r="K675" s="2">
        <f>Fardo!D672</f>
        <v>15.704918032786885</v>
      </c>
      <c r="L675" s="2">
        <f>Entworpe!D672</f>
        <v>12.5</v>
      </c>
      <c r="M675">
        <f t="shared" si="12"/>
        <v>26</v>
      </c>
    </row>
    <row r="676" spans="1:13" x14ac:dyDescent="0.2">
      <c r="A676">
        <v>672</v>
      </c>
      <c r="B676">
        <f>Calopeia!D308</f>
        <v>39</v>
      </c>
      <c r="C676" s="5">
        <f>Sorange!B673</f>
        <v>41</v>
      </c>
      <c r="D676" s="5">
        <f>Tyran!B673</f>
        <v>52</v>
      </c>
      <c r="E676" s="5">
        <f>Fardo!B673</f>
        <v>36</v>
      </c>
      <c r="F676" s="38">
        <f>Entworpe!B673</f>
        <v>0</v>
      </c>
      <c r="G676">
        <v>1402</v>
      </c>
      <c r="H676" s="2">
        <f>Calopeia!H308</f>
        <v>14.329162124156674</v>
      </c>
      <c r="I676" s="2">
        <f>Sorange!E673</f>
        <v>116.57214524605828</v>
      </c>
      <c r="J676" s="2">
        <f>Tyran!D673</f>
        <v>19.409836065573771</v>
      </c>
      <c r="K676" s="2">
        <f>Fardo!D673</f>
        <v>15.704918032786885</v>
      </c>
      <c r="L676" s="2">
        <f>Entworpe!D673</f>
        <v>12.5</v>
      </c>
      <c r="M676">
        <f t="shared" si="12"/>
        <v>39</v>
      </c>
    </row>
    <row r="677" spans="1:13" x14ac:dyDescent="0.2">
      <c r="A677">
        <v>673</v>
      </c>
      <c r="B677">
        <f>Calopeia!D309</f>
        <v>23</v>
      </c>
      <c r="C677" s="5">
        <f>Sorange!B674</f>
        <v>0</v>
      </c>
      <c r="D677" s="5">
        <f>Tyran!B674</f>
        <v>23</v>
      </c>
      <c r="E677" s="5">
        <f>Fardo!B674</f>
        <v>5</v>
      </c>
      <c r="F677" s="38">
        <f>Entworpe!B674</f>
        <v>250</v>
      </c>
      <c r="G677">
        <v>1403</v>
      </c>
      <c r="H677" s="2">
        <f>Calopeia!H309</f>
        <v>14.329162124156674</v>
      </c>
      <c r="I677" s="2">
        <f>Sorange!E674</f>
        <v>116.72479694218823</v>
      </c>
      <c r="J677" s="2">
        <f>Tyran!D674</f>
        <v>19.409836065573771</v>
      </c>
      <c r="K677" s="2">
        <f>Fardo!D674</f>
        <v>15.704918032786885</v>
      </c>
      <c r="L677" s="2">
        <f>Entworpe!D674</f>
        <v>12.5</v>
      </c>
      <c r="M677">
        <f t="shared" si="12"/>
        <v>273</v>
      </c>
    </row>
    <row r="678" spans="1:13" x14ac:dyDescent="0.2">
      <c r="A678">
        <v>674</v>
      </c>
      <c r="B678">
        <f>Calopeia!D310</f>
        <v>14</v>
      </c>
      <c r="C678" s="5">
        <f>Sorange!B675</f>
        <v>3</v>
      </c>
      <c r="D678" s="5">
        <f>Tyran!B675</f>
        <v>32</v>
      </c>
      <c r="E678" s="5">
        <f>Fardo!B675</f>
        <v>27</v>
      </c>
      <c r="F678" s="38">
        <f>Entworpe!B675</f>
        <v>0</v>
      </c>
      <c r="G678">
        <v>1404</v>
      </c>
      <c r="H678" s="2">
        <f>Calopeia!H310</f>
        <v>14.329162124156674</v>
      </c>
      <c r="I678" s="2">
        <f>Sorange!E675</f>
        <v>116.8774486383182</v>
      </c>
      <c r="J678" s="2">
        <f>Tyran!D675</f>
        <v>19.409836065573771</v>
      </c>
      <c r="K678" s="2">
        <f>Fardo!D675</f>
        <v>15.704918032786885</v>
      </c>
      <c r="L678" s="2">
        <f>Entworpe!D675</f>
        <v>12.5</v>
      </c>
      <c r="M678">
        <f t="shared" si="12"/>
        <v>14</v>
      </c>
    </row>
    <row r="679" spans="1:13" x14ac:dyDescent="0.2">
      <c r="A679">
        <v>675</v>
      </c>
      <c r="B679">
        <f>Calopeia!D311</f>
        <v>16</v>
      </c>
      <c r="C679" s="5">
        <f>Sorange!B676</f>
        <v>3</v>
      </c>
      <c r="D679" s="5">
        <f>Tyran!B676</f>
        <v>31</v>
      </c>
      <c r="E679" s="5">
        <f>Fardo!B676</f>
        <v>35</v>
      </c>
      <c r="F679" s="38">
        <f>Entworpe!B676</f>
        <v>0</v>
      </c>
      <c r="G679">
        <v>1405</v>
      </c>
      <c r="H679" s="2">
        <f>Calopeia!H311</f>
        <v>14.329162124156674</v>
      </c>
      <c r="I679" s="2">
        <f>Sorange!E676</f>
        <v>117.03010033444815</v>
      </c>
      <c r="J679" s="2">
        <f>Tyran!D676</f>
        <v>19.409836065573771</v>
      </c>
      <c r="K679" s="2">
        <f>Fardo!D676</f>
        <v>15.704918032786885</v>
      </c>
      <c r="L679" s="2">
        <f>Entworpe!D676</f>
        <v>12.5</v>
      </c>
      <c r="M679">
        <f t="shared" si="12"/>
        <v>16</v>
      </c>
    </row>
    <row r="680" spans="1:13" x14ac:dyDescent="0.2">
      <c r="A680">
        <v>676</v>
      </c>
      <c r="B680">
        <f>Calopeia!D312</f>
        <v>26</v>
      </c>
      <c r="C680" s="5">
        <f>Sorange!B677</f>
        <v>0</v>
      </c>
      <c r="D680" s="5">
        <f>Tyran!B677</f>
        <v>28</v>
      </c>
      <c r="E680" s="5">
        <f>Fardo!B677</f>
        <v>8</v>
      </c>
      <c r="F680" s="38">
        <f>Entworpe!B677</f>
        <v>0</v>
      </c>
      <c r="G680">
        <v>1406</v>
      </c>
      <c r="H680" s="2">
        <f>Calopeia!H312</f>
        <v>14.329162124156674</v>
      </c>
      <c r="I680" s="2">
        <f>Sorange!E677</f>
        <v>117.18275203057811</v>
      </c>
      <c r="J680" s="2">
        <f>Tyran!D677</f>
        <v>19.409836065573771</v>
      </c>
      <c r="K680" s="2">
        <f>Fardo!D677</f>
        <v>15.704918032786885</v>
      </c>
      <c r="L680" s="2">
        <f>Entworpe!D677</f>
        <v>12.5</v>
      </c>
      <c r="M680">
        <f t="shared" si="12"/>
        <v>26</v>
      </c>
    </row>
    <row r="681" spans="1:13" x14ac:dyDescent="0.2">
      <c r="A681">
        <v>677</v>
      </c>
      <c r="B681">
        <f>Calopeia!D313</f>
        <v>21</v>
      </c>
      <c r="C681" s="5">
        <f>Sorange!B678</f>
        <v>4</v>
      </c>
      <c r="D681" s="5">
        <f>Tyran!B678</f>
        <v>35</v>
      </c>
      <c r="E681" s="5">
        <f>Fardo!B678</f>
        <v>17</v>
      </c>
      <c r="F681" s="38">
        <f>Entworpe!B678</f>
        <v>0</v>
      </c>
      <c r="G681">
        <v>1407</v>
      </c>
      <c r="H681" s="2">
        <f>Calopeia!H313</f>
        <v>14.329162124156674</v>
      </c>
      <c r="I681" s="2">
        <f>Sorange!E678</f>
        <v>117.33540372670807</v>
      </c>
      <c r="J681" s="2">
        <f>Tyran!D678</f>
        <v>19.409836065573771</v>
      </c>
      <c r="K681" s="2">
        <f>Fardo!D678</f>
        <v>15.704918032786885</v>
      </c>
      <c r="L681" s="2">
        <f>Entworpe!D678</f>
        <v>12.5</v>
      </c>
      <c r="M681">
        <f t="shared" si="12"/>
        <v>21</v>
      </c>
    </row>
    <row r="682" spans="1:13" x14ac:dyDescent="0.2">
      <c r="A682">
        <v>678</v>
      </c>
      <c r="B682">
        <f>Calopeia!D314</f>
        <v>29</v>
      </c>
      <c r="C682" s="5">
        <f>Sorange!B679</f>
        <v>15</v>
      </c>
      <c r="D682" s="5">
        <f>Tyran!B679</f>
        <v>64</v>
      </c>
      <c r="E682" s="5">
        <f>Fardo!B679</f>
        <v>0</v>
      </c>
      <c r="F682" s="38">
        <f>Entworpe!B679</f>
        <v>0</v>
      </c>
      <c r="G682">
        <v>1408</v>
      </c>
      <c r="H682" s="2">
        <f>Calopeia!H314</f>
        <v>14.329162124156674</v>
      </c>
      <c r="I682" s="2">
        <f>Sorange!E679</f>
        <v>117.48805542283802</v>
      </c>
      <c r="J682" s="2">
        <f>Tyran!D679</f>
        <v>19.409836065573771</v>
      </c>
      <c r="K682" s="2">
        <f>Fardo!D679</f>
        <v>15.704918032786885</v>
      </c>
      <c r="L682" s="2">
        <f>Entworpe!D679</f>
        <v>12.5</v>
      </c>
      <c r="M682">
        <f t="shared" si="12"/>
        <v>29</v>
      </c>
    </row>
    <row r="683" spans="1:13" x14ac:dyDescent="0.2">
      <c r="A683">
        <v>679</v>
      </c>
      <c r="B683">
        <f>Calopeia!D315</f>
        <v>7</v>
      </c>
      <c r="C683" s="5">
        <f>Sorange!B680</f>
        <v>0</v>
      </c>
      <c r="D683" s="5">
        <f>Tyran!B680</f>
        <v>48</v>
      </c>
      <c r="E683" s="5">
        <f>Fardo!B680</f>
        <v>0</v>
      </c>
      <c r="F683" s="38">
        <f>Entworpe!B680</f>
        <v>0</v>
      </c>
      <c r="G683">
        <v>1409</v>
      </c>
      <c r="H683" s="2">
        <f>Calopeia!H315</f>
        <v>14.329162124156674</v>
      </c>
      <c r="I683" s="2">
        <f>Sorange!E680</f>
        <v>117.64070711896798</v>
      </c>
      <c r="J683" s="2">
        <f>Tyran!D680</f>
        <v>19.409836065573771</v>
      </c>
      <c r="K683" s="2">
        <f>Fardo!D680</f>
        <v>15.704918032786885</v>
      </c>
      <c r="L683" s="2">
        <f>Entworpe!D680</f>
        <v>12.5</v>
      </c>
      <c r="M683">
        <f t="shared" si="12"/>
        <v>7</v>
      </c>
    </row>
    <row r="684" spans="1:13" x14ac:dyDescent="0.2">
      <c r="A684">
        <v>680</v>
      </c>
      <c r="B684">
        <f>Calopeia!D316</f>
        <v>13</v>
      </c>
      <c r="C684" s="5">
        <f>Sorange!B681</f>
        <v>5</v>
      </c>
      <c r="D684" s="5">
        <f>Tyran!B681</f>
        <v>11</v>
      </c>
      <c r="E684" s="5">
        <f>Fardo!B681</f>
        <v>3</v>
      </c>
      <c r="F684" s="38">
        <f>Entworpe!B681</f>
        <v>0</v>
      </c>
      <c r="G684">
        <v>1410</v>
      </c>
      <c r="H684" s="2">
        <f>Calopeia!H316</f>
        <v>14.329162124156674</v>
      </c>
      <c r="I684" s="2">
        <f>Sorange!E681</f>
        <v>117.79335881509793</v>
      </c>
      <c r="J684" s="2">
        <f>Tyran!D681</f>
        <v>19.409836065573771</v>
      </c>
      <c r="K684" s="2">
        <f>Fardo!D681</f>
        <v>15.704918032786885</v>
      </c>
      <c r="L684" s="2">
        <f>Entworpe!D681</f>
        <v>12.5</v>
      </c>
      <c r="M684">
        <f t="shared" si="12"/>
        <v>13</v>
      </c>
    </row>
    <row r="685" spans="1:13" x14ac:dyDescent="0.2">
      <c r="A685">
        <v>681</v>
      </c>
      <c r="B685">
        <f>Calopeia!D317</f>
        <v>40</v>
      </c>
      <c r="C685" s="5">
        <f>Sorange!B682</f>
        <v>6</v>
      </c>
      <c r="D685" s="5">
        <f>Tyran!B682</f>
        <v>5</v>
      </c>
      <c r="E685" s="5">
        <f>Fardo!B682</f>
        <v>46</v>
      </c>
      <c r="F685" s="38">
        <f>Entworpe!B682</f>
        <v>0</v>
      </c>
      <c r="G685">
        <v>1411</v>
      </c>
      <c r="H685" s="2">
        <f>Calopeia!H317</f>
        <v>14.329162124156674</v>
      </c>
      <c r="I685" s="2">
        <f>Sorange!E682</f>
        <v>117.9460105112279</v>
      </c>
      <c r="J685" s="2">
        <f>Tyran!D682</f>
        <v>19.409836065573771</v>
      </c>
      <c r="K685" s="2">
        <f>Fardo!D682</f>
        <v>15.704918032786885</v>
      </c>
      <c r="L685" s="2">
        <f>Entworpe!D682</f>
        <v>12.5</v>
      </c>
      <c r="M685">
        <f t="shared" si="12"/>
        <v>40</v>
      </c>
    </row>
    <row r="686" spans="1:13" x14ac:dyDescent="0.2">
      <c r="A686">
        <v>682</v>
      </c>
      <c r="B686">
        <f>Calopeia!D318</f>
        <v>4</v>
      </c>
      <c r="C686" s="5">
        <f>Sorange!B683</f>
        <v>8</v>
      </c>
      <c r="D686" s="5">
        <f>Tyran!B683</f>
        <v>3</v>
      </c>
      <c r="E686" s="5">
        <f>Fardo!B683</f>
        <v>0</v>
      </c>
      <c r="F686" s="38">
        <f>Entworpe!B683</f>
        <v>0</v>
      </c>
      <c r="G686">
        <v>1412</v>
      </c>
      <c r="H686" s="2">
        <f>Calopeia!H318</f>
        <v>14.329162124156674</v>
      </c>
      <c r="I686" s="2">
        <f>Sorange!E683</f>
        <v>118.09866220735785</v>
      </c>
      <c r="J686" s="2">
        <f>Tyran!D683</f>
        <v>19.409836065573771</v>
      </c>
      <c r="K686" s="2">
        <f>Fardo!D683</f>
        <v>15.704918032786885</v>
      </c>
      <c r="L686" s="2">
        <f>Entworpe!D683</f>
        <v>12.5</v>
      </c>
      <c r="M686">
        <f t="shared" si="12"/>
        <v>4</v>
      </c>
    </row>
    <row r="687" spans="1:13" x14ac:dyDescent="0.2">
      <c r="A687">
        <v>683</v>
      </c>
      <c r="B687">
        <f>Calopeia!D319</f>
        <v>22</v>
      </c>
      <c r="C687" s="5">
        <f>Sorange!B684</f>
        <v>31</v>
      </c>
      <c r="D687" s="5">
        <f>Tyran!B684</f>
        <v>10</v>
      </c>
      <c r="E687" s="5">
        <f>Fardo!B684</f>
        <v>18</v>
      </c>
      <c r="F687" s="38">
        <f>Entworpe!B684</f>
        <v>0</v>
      </c>
      <c r="G687">
        <v>1413</v>
      </c>
      <c r="H687" s="2">
        <f>Calopeia!H319</f>
        <v>14.329162124156674</v>
      </c>
      <c r="I687" s="2">
        <f>Sorange!E684</f>
        <v>118.25131390348781</v>
      </c>
      <c r="J687" s="2">
        <f>Tyran!D684</f>
        <v>19.409836065573771</v>
      </c>
      <c r="K687" s="2">
        <f>Fardo!D684</f>
        <v>15.704918032786885</v>
      </c>
      <c r="L687" s="2">
        <f>Entworpe!D684</f>
        <v>12.5</v>
      </c>
      <c r="M687">
        <f t="shared" si="12"/>
        <v>22</v>
      </c>
    </row>
    <row r="688" spans="1:13" x14ac:dyDescent="0.2">
      <c r="A688">
        <v>684</v>
      </c>
      <c r="B688">
        <f>Calopeia!D320</f>
        <v>9</v>
      </c>
      <c r="C688" s="5">
        <f>Sorange!B685</f>
        <v>0</v>
      </c>
      <c r="D688" s="5">
        <f>Tyran!B685</f>
        <v>10</v>
      </c>
      <c r="E688" s="5">
        <f>Fardo!B685</f>
        <v>0</v>
      </c>
      <c r="F688" s="38">
        <f>Entworpe!B685</f>
        <v>0</v>
      </c>
      <c r="G688">
        <v>1414</v>
      </c>
      <c r="H688" s="2">
        <f>Calopeia!H320</f>
        <v>14.329162124156674</v>
      </c>
      <c r="I688" s="2">
        <f>Sorange!E685</f>
        <v>118.40396559961776</v>
      </c>
      <c r="J688" s="2">
        <f>Tyran!D685</f>
        <v>19.409836065573771</v>
      </c>
      <c r="K688" s="2">
        <f>Fardo!D685</f>
        <v>15.704918032786885</v>
      </c>
      <c r="L688" s="2">
        <f>Entworpe!D685</f>
        <v>12.5</v>
      </c>
      <c r="M688">
        <f t="shared" si="12"/>
        <v>9</v>
      </c>
    </row>
    <row r="689" spans="1:13" x14ac:dyDescent="0.2">
      <c r="A689">
        <v>685</v>
      </c>
      <c r="B689">
        <f>Calopeia!D321</f>
        <v>11</v>
      </c>
      <c r="C689" s="5">
        <f>Sorange!B686</f>
        <v>6</v>
      </c>
      <c r="D689" s="5">
        <f>Tyran!B686</f>
        <v>2</v>
      </c>
      <c r="E689" s="5">
        <f>Fardo!B686</f>
        <v>83</v>
      </c>
      <c r="F689" s="38">
        <f>Entworpe!B686</f>
        <v>0</v>
      </c>
      <c r="G689">
        <v>1415</v>
      </c>
      <c r="H689" s="2">
        <f>Calopeia!H321</f>
        <v>14.329162124156674</v>
      </c>
      <c r="I689" s="2">
        <f>Sorange!E686</f>
        <v>118.55661729574773</v>
      </c>
      <c r="J689" s="2">
        <f>Tyran!D686</f>
        <v>19.409836065573771</v>
      </c>
      <c r="K689" s="2">
        <f>Fardo!D686</f>
        <v>15.704918032786885</v>
      </c>
      <c r="L689" s="2">
        <f>Entworpe!D686</f>
        <v>12.5</v>
      </c>
      <c r="M689">
        <f t="shared" si="12"/>
        <v>11</v>
      </c>
    </row>
    <row r="690" spans="1:13" x14ac:dyDescent="0.2">
      <c r="A690">
        <v>686</v>
      </c>
      <c r="B690">
        <f>Calopeia!D322</f>
        <v>29</v>
      </c>
      <c r="C690" s="5">
        <f>Sorange!B687</f>
        <v>8</v>
      </c>
      <c r="D690" s="5">
        <f>Tyran!B687</f>
        <v>52</v>
      </c>
      <c r="E690" s="5">
        <f>Fardo!B687</f>
        <v>41</v>
      </c>
      <c r="F690" s="38">
        <f>Entworpe!B687</f>
        <v>0</v>
      </c>
      <c r="G690">
        <v>1416</v>
      </c>
      <c r="H690" s="2">
        <f>Calopeia!H322</f>
        <v>14.329162124156674</v>
      </c>
      <c r="I690" s="2">
        <f>Sorange!E687</f>
        <v>118.70926899187768</v>
      </c>
      <c r="J690" s="2">
        <f>Tyran!D687</f>
        <v>19.409836065573771</v>
      </c>
      <c r="K690" s="2">
        <f>Fardo!D687</f>
        <v>15.704918032786885</v>
      </c>
      <c r="L690" s="2">
        <f>Entworpe!D687</f>
        <v>12.5</v>
      </c>
      <c r="M690">
        <f t="shared" si="12"/>
        <v>29</v>
      </c>
    </row>
    <row r="691" spans="1:13" x14ac:dyDescent="0.2">
      <c r="A691">
        <v>687</v>
      </c>
      <c r="B691">
        <f>Calopeia!D323</f>
        <v>13</v>
      </c>
      <c r="C691" s="5">
        <f>Sorange!B688</f>
        <v>1</v>
      </c>
      <c r="D691" s="5">
        <f>Tyran!B688</f>
        <v>0</v>
      </c>
      <c r="E691" s="5">
        <f>Fardo!B688</f>
        <v>32</v>
      </c>
      <c r="F691" s="38">
        <f>Entworpe!B688</f>
        <v>0</v>
      </c>
      <c r="G691">
        <v>1417</v>
      </c>
      <c r="H691" s="2">
        <f>Calopeia!H323</f>
        <v>14.329162124156674</v>
      </c>
      <c r="I691" s="2">
        <f>Sorange!E688</f>
        <v>118.86192068800763</v>
      </c>
      <c r="J691" s="2">
        <f>Tyran!D688</f>
        <v>19.409836065573771</v>
      </c>
      <c r="K691" s="2">
        <f>Fardo!D688</f>
        <v>15.704918032786885</v>
      </c>
      <c r="L691" s="2">
        <f>Entworpe!D688</f>
        <v>12.5</v>
      </c>
      <c r="M691">
        <f t="shared" si="12"/>
        <v>13</v>
      </c>
    </row>
    <row r="692" spans="1:13" x14ac:dyDescent="0.2">
      <c r="A692">
        <v>688</v>
      </c>
      <c r="B692">
        <f>Calopeia!D324</f>
        <v>56</v>
      </c>
      <c r="C692" s="5">
        <f>Sorange!B689</f>
        <v>10</v>
      </c>
      <c r="D692" s="5">
        <f>Tyran!B689</f>
        <v>12</v>
      </c>
      <c r="E692" s="5">
        <f>Fardo!B689</f>
        <v>2</v>
      </c>
      <c r="F692" s="38">
        <f>Entworpe!B689</f>
        <v>0</v>
      </c>
      <c r="G692">
        <v>1418</v>
      </c>
      <c r="H692" s="2">
        <f>Calopeia!H324</f>
        <v>14.329162124156674</v>
      </c>
      <c r="I692" s="2">
        <f>Sorange!E689</f>
        <v>119.01457238413759</v>
      </c>
      <c r="J692" s="2">
        <f>Tyran!D689</f>
        <v>19.409836065573771</v>
      </c>
      <c r="K692" s="2">
        <f>Fardo!D689</f>
        <v>15.704918032786885</v>
      </c>
      <c r="L692" s="2">
        <f>Entworpe!D689</f>
        <v>12.5</v>
      </c>
      <c r="M692">
        <f t="shared" si="12"/>
        <v>56</v>
      </c>
    </row>
    <row r="693" spans="1:13" x14ac:dyDescent="0.2">
      <c r="A693">
        <v>689</v>
      </c>
      <c r="B693">
        <f>Calopeia!D325</f>
        <v>12</v>
      </c>
      <c r="C693" s="5">
        <f>Sorange!B690</f>
        <v>2</v>
      </c>
      <c r="D693" s="5">
        <f>Tyran!B690</f>
        <v>51</v>
      </c>
      <c r="E693" s="5">
        <f>Fardo!B690</f>
        <v>13</v>
      </c>
      <c r="F693" s="38">
        <f>Entworpe!B690</f>
        <v>0</v>
      </c>
      <c r="G693">
        <v>1419</v>
      </c>
      <c r="H693" s="2">
        <f>Calopeia!H325</f>
        <v>14.329162124156674</v>
      </c>
      <c r="I693" s="2">
        <f>Sorange!E690</f>
        <v>119.16722408026754</v>
      </c>
      <c r="J693" s="2">
        <f>Tyran!D690</f>
        <v>19.409836065573771</v>
      </c>
      <c r="K693" s="2">
        <f>Fardo!D690</f>
        <v>15.704918032786885</v>
      </c>
      <c r="L693" s="2">
        <f>Entworpe!D690</f>
        <v>12.5</v>
      </c>
      <c r="M693">
        <f t="shared" si="12"/>
        <v>12</v>
      </c>
    </row>
    <row r="694" spans="1:13" x14ac:dyDescent="0.2">
      <c r="A694">
        <v>690</v>
      </c>
      <c r="B694">
        <f>Calopeia!D326</f>
        <v>19</v>
      </c>
      <c r="C694" s="5">
        <f>Sorange!B691</f>
        <v>5</v>
      </c>
      <c r="D694" s="5">
        <f>Tyran!B691</f>
        <v>17</v>
      </c>
      <c r="E694" s="5">
        <f>Fardo!B691</f>
        <v>0</v>
      </c>
      <c r="F694" s="38">
        <f>Entworpe!B691</f>
        <v>0</v>
      </c>
      <c r="G694">
        <v>1420</v>
      </c>
      <c r="H694" s="2">
        <f>Calopeia!H326</f>
        <v>14.329162124156674</v>
      </c>
      <c r="I694" s="2">
        <f>Sorange!E691</f>
        <v>119.31987577639751</v>
      </c>
      <c r="J694" s="2">
        <f>Tyran!D691</f>
        <v>19.409836065573771</v>
      </c>
      <c r="K694" s="2">
        <f>Fardo!D691</f>
        <v>15.704918032786885</v>
      </c>
      <c r="L694" s="2">
        <f>Entworpe!D691</f>
        <v>12.5</v>
      </c>
      <c r="M694">
        <f t="shared" si="12"/>
        <v>19</v>
      </c>
    </row>
    <row r="695" spans="1:13" x14ac:dyDescent="0.2">
      <c r="A695">
        <v>691</v>
      </c>
      <c r="B695">
        <f>Calopeia!D327</f>
        <v>12</v>
      </c>
      <c r="C695" s="5">
        <f>Sorange!B692</f>
        <v>16</v>
      </c>
      <c r="D695" s="5">
        <f>Tyran!B692</f>
        <v>11</v>
      </c>
      <c r="E695" s="5">
        <f>Fardo!B692</f>
        <v>5</v>
      </c>
      <c r="F695" s="38">
        <f>Entworpe!B692</f>
        <v>0</v>
      </c>
      <c r="G695">
        <v>1421</v>
      </c>
      <c r="H695" s="2">
        <f>Calopeia!H327</f>
        <v>14.329162124156674</v>
      </c>
      <c r="I695" s="2">
        <f>Sorange!E692</f>
        <v>119.47252747252746</v>
      </c>
      <c r="J695" s="2">
        <f>Tyran!D692</f>
        <v>19.409836065573771</v>
      </c>
      <c r="K695" s="2">
        <f>Fardo!D692</f>
        <v>15.704918032786885</v>
      </c>
      <c r="L695" s="2">
        <f>Entworpe!D692</f>
        <v>12.5</v>
      </c>
      <c r="M695">
        <f t="shared" si="12"/>
        <v>12</v>
      </c>
    </row>
    <row r="696" spans="1:13" x14ac:dyDescent="0.2">
      <c r="A696">
        <v>692</v>
      </c>
      <c r="B696">
        <f>Calopeia!D328</f>
        <v>26</v>
      </c>
      <c r="C696" s="5">
        <f>Sorange!B693</f>
        <v>15</v>
      </c>
      <c r="D696" s="5">
        <f>Tyran!B693</f>
        <v>0</v>
      </c>
      <c r="E696" s="5">
        <f>Fardo!B693</f>
        <v>0</v>
      </c>
      <c r="F696" s="38">
        <f>Entworpe!B693</f>
        <v>0</v>
      </c>
      <c r="G696">
        <v>1422</v>
      </c>
      <c r="H696" s="2">
        <f>Calopeia!H328</f>
        <v>14.329162124156674</v>
      </c>
      <c r="I696" s="2">
        <f>Sorange!E693</f>
        <v>119.62517916865743</v>
      </c>
      <c r="J696" s="2">
        <f>Tyran!D693</f>
        <v>19.409836065573771</v>
      </c>
      <c r="K696" s="2">
        <f>Fardo!D693</f>
        <v>15.704918032786885</v>
      </c>
      <c r="L696" s="2">
        <f>Entworpe!D693</f>
        <v>12.5</v>
      </c>
      <c r="M696">
        <f t="shared" si="12"/>
        <v>26</v>
      </c>
    </row>
    <row r="697" spans="1:13" x14ac:dyDescent="0.2">
      <c r="A697">
        <v>693</v>
      </c>
      <c r="B697">
        <f>Calopeia!D329</f>
        <v>11</v>
      </c>
      <c r="C697" s="5">
        <f>Sorange!B694</f>
        <v>12</v>
      </c>
      <c r="D697" s="5">
        <f>Tyran!B694</f>
        <v>35</v>
      </c>
      <c r="E697" s="5">
        <f>Fardo!B694</f>
        <v>2</v>
      </c>
      <c r="F697" s="38">
        <f>Entworpe!B694</f>
        <v>0</v>
      </c>
      <c r="G697">
        <v>1423</v>
      </c>
      <c r="H697" s="2">
        <f>Calopeia!H329</f>
        <v>14.329162124156674</v>
      </c>
      <c r="I697" s="2">
        <f>Sorange!E694</f>
        <v>119.77783086478738</v>
      </c>
      <c r="J697" s="2">
        <f>Tyran!D694</f>
        <v>19.409836065573771</v>
      </c>
      <c r="K697" s="2">
        <f>Fardo!D694</f>
        <v>15.704918032786885</v>
      </c>
      <c r="L697" s="2">
        <f>Entworpe!D694</f>
        <v>12.5</v>
      </c>
      <c r="M697">
        <f t="shared" si="12"/>
        <v>11</v>
      </c>
    </row>
    <row r="698" spans="1:13" x14ac:dyDescent="0.2">
      <c r="A698">
        <v>694</v>
      </c>
      <c r="B698">
        <f>Calopeia!D330</f>
        <v>21</v>
      </c>
      <c r="C698" s="5">
        <f>Sorange!B695</f>
        <v>7</v>
      </c>
      <c r="D698" s="5">
        <f>Tyran!B695</f>
        <v>2</v>
      </c>
      <c r="E698" s="5">
        <f>Fardo!B695</f>
        <v>13</v>
      </c>
      <c r="F698" s="38">
        <f>Entworpe!B695</f>
        <v>0</v>
      </c>
      <c r="G698">
        <v>1424</v>
      </c>
      <c r="H698" s="2">
        <f>Calopeia!H330</f>
        <v>14.329162124156674</v>
      </c>
      <c r="I698" s="2">
        <f>Sorange!E695</f>
        <v>119.93048256091734</v>
      </c>
      <c r="J698" s="2">
        <f>Tyran!D695</f>
        <v>19.409836065573771</v>
      </c>
      <c r="K698" s="2">
        <f>Fardo!D695</f>
        <v>15.704918032786885</v>
      </c>
      <c r="L698" s="2">
        <f>Entworpe!D695</f>
        <v>12.5</v>
      </c>
      <c r="M698">
        <f t="shared" si="12"/>
        <v>21</v>
      </c>
    </row>
    <row r="699" spans="1:13" x14ac:dyDescent="0.2">
      <c r="A699">
        <v>695</v>
      </c>
      <c r="B699">
        <f>Calopeia!D331</f>
        <v>9</v>
      </c>
      <c r="C699" s="5">
        <f>Sorange!B696</f>
        <v>11</v>
      </c>
      <c r="D699" s="5">
        <f>Tyran!B696</f>
        <v>46</v>
      </c>
      <c r="E699" s="5">
        <f>Fardo!B696</f>
        <v>8</v>
      </c>
      <c r="F699" s="38">
        <f>Entworpe!B696</f>
        <v>0</v>
      </c>
      <c r="G699">
        <v>1425</v>
      </c>
      <c r="H699" s="2">
        <f>Calopeia!H331</f>
        <v>14.329162124156674</v>
      </c>
      <c r="I699" s="2">
        <f>Sorange!E696</f>
        <v>120.08313425704729</v>
      </c>
      <c r="J699" s="2">
        <f>Tyran!D696</f>
        <v>19.409836065573771</v>
      </c>
      <c r="K699" s="2">
        <f>Fardo!D696</f>
        <v>15.704918032786885</v>
      </c>
      <c r="L699" s="2">
        <f>Entworpe!D696</f>
        <v>12.5</v>
      </c>
      <c r="M699">
        <f t="shared" si="12"/>
        <v>9</v>
      </c>
    </row>
    <row r="700" spans="1:13" x14ac:dyDescent="0.2">
      <c r="A700">
        <v>696</v>
      </c>
      <c r="B700">
        <f>Calopeia!D332</f>
        <v>11</v>
      </c>
      <c r="C700" s="5">
        <f>Sorange!B697</f>
        <v>3</v>
      </c>
      <c r="D700" s="5">
        <f>Tyran!B697</f>
        <v>1</v>
      </c>
      <c r="E700" s="5">
        <f>Fardo!B697</f>
        <v>9</v>
      </c>
      <c r="F700" s="38">
        <f>Entworpe!B697</f>
        <v>0</v>
      </c>
      <c r="G700">
        <v>1426</v>
      </c>
      <c r="H700" s="2">
        <f>Calopeia!H332</f>
        <v>14.329162124156674</v>
      </c>
      <c r="I700" s="2">
        <f>Sorange!E697</f>
        <v>120.23578595317724</v>
      </c>
      <c r="J700" s="2">
        <f>Tyran!D697</f>
        <v>19.409836065573771</v>
      </c>
      <c r="K700" s="2">
        <f>Fardo!D697</f>
        <v>15.704918032786885</v>
      </c>
      <c r="L700" s="2">
        <f>Entworpe!D697</f>
        <v>12.5</v>
      </c>
      <c r="M700">
        <f t="shared" si="12"/>
        <v>11</v>
      </c>
    </row>
    <row r="701" spans="1:13" x14ac:dyDescent="0.2">
      <c r="A701">
        <v>697</v>
      </c>
      <c r="B701">
        <f>Calopeia!D333</f>
        <v>6</v>
      </c>
      <c r="C701" s="5">
        <f>Sorange!B698</f>
        <v>16</v>
      </c>
      <c r="D701" s="5">
        <f>Tyran!B698</f>
        <v>7</v>
      </c>
      <c r="E701" s="5">
        <f>Fardo!B698</f>
        <v>6</v>
      </c>
      <c r="F701" s="38">
        <f>Entworpe!B698</f>
        <v>0</v>
      </c>
      <c r="G701">
        <v>1427</v>
      </c>
      <c r="H701" s="2">
        <f>Calopeia!H333</f>
        <v>14.329162124156674</v>
      </c>
      <c r="I701" s="2">
        <f>Sorange!E698</f>
        <v>120.38843764930721</v>
      </c>
      <c r="J701" s="2">
        <f>Tyran!D698</f>
        <v>19.409836065573771</v>
      </c>
      <c r="K701" s="2">
        <f>Fardo!D698</f>
        <v>15.704918032786885</v>
      </c>
      <c r="L701" s="2">
        <f>Entworpe!D698</f>
        <v>12.5</v>
      </c>
      <c r="M701">
        <f t="shared" si="12"/>
        <v>6</v>
      </c>
    </row>
    <row r="702" spans="1:13" x14ac:dyDescent="0.2">
      <c r="A702">
        <v>698</v>
      </c>
      <c r="B702">
        <f>Calopeia!D334</f>
        <v>8</v>
      </c>
      <c r="C702" s="5">
        <f>Sorange!B699</f>
        <v>4</v>
      </c>
      <c r="D702" s="5">
        <f>Tyran!B699</f>
        <v>9</v>
      </c>
      <c r="E702" s="5">
        <f>Fardo!B699</f>
        <v>17</v>
      </c>
      <c r="F702" s="38">
        <f>Entworpe!B699</f>
        <v>0</v>
      </c>
      <c r="G702">
        <v>1428</v>
      </c>
      <c r="H702" s="2">
        <f>Calopeia!H334</f>
        <v>14.329162124156674</v>
      </c>
      <c r="I702" s="2">
        <f>Sorange!E699</f>
        <v>120.54108934543716</v>
      </c>
      <c r="J702" s="2">
        <f>Tyran!D699</f>
        <v>19.409836065573771</v>
      </c>
      <c r="K702" s="2">
        <f>Fardo!D699</f>
        <v>15.704918032786885</v>
      </c>
      <c r="L702" s="2">
        <f>Entworpe!D699</f>
        <v>12.5</v>
      </c>
      <c r="M702">
        <f t="shared" si="12"/>
        <v>8</v>
      </c>
    </row>
    <row r="703" spans="1:13" x14ac:dyDescent="0.2">
      <c r="A703">
        <v>699</v>
      </c>
      <c r="B703">
        <f>Calopeia!D335</f>
        <v>10</v>
      </c>
      <c r="C703" s="5">
        <f>Sorange!B700</f>
        <v>8</v>
      </c>
      <c r="D703" s="5">
        <f>Tyran!B700</f>
        <v>9</v>
      </c>
      <c r="E703" s="5">
        <f>Fardo!B700</f>
        <v>0</v>
      </c>
      <c r="F703" s="38">
        <f>Entworpe!B700</f>
        <v>0</v>
      </c>
      <c r="G703">
        <v>1429</v>
      </c>
      <c r="H703" s="2">
        <f>Calopeia!H335</f>
        <v>14.329162124156674</v>
      </c>
      <c r="I703" s="2">
        <f>Sorange!E700</f>
        <v>120.69374104156712</v>
      </c>
      <c r="J703" s="2">
        <f>Tyran!D700</f>
        <v>19.409836065573771</v>
      </c>
      <c r="K703" s="2">
        <f>Fardo!D700</f>
        <v>15.704918032786885</v>
      </c>
      <c r="L703" s="2">
        <f>Entworpe!D700</f>
        <v>12.5</v>
      </c>
      <c r="M703">
        <f t="shared" si="12"/>
        <v>10</v>
      </c>
    </row>
    <row r="704" spans="1:13" x14ac:dyDescent="0.2">
      <c r="A704">
        <v>700</v>
      </c>
      <c r="B704">
        <f>Calopeia!D336</f>
        <v>12</v>
      </c>
      <c r="C704" s="5">
        <f>Sorange!B701</f>
        <v>18</v>
      </c>
      <c r="D704" s="5">
        <f>Tyran!B701</f>
        <v>47</v>
      </c>
      <c r="E704" s="5">
        <f>Fardo!B701</f>
        <v>1</v>
      </c>
      <c r="F704" s="38">
        <f>Entworpe!B701</f>
        <v>250</v>
      </c>
      <c r="G704" s="6">
        <v>1430</v>
      </c>
      <c r="H704" s="9">
        <f>Calopeia!I336</f>
        <v>14.329162124156674</v>
      </c>
      <c r="I704" s="9">
        <f>Sorange!F701</f>
        <v>120.84639273769707</v>
      </c>
      <c r="J704" s="9">
        <f>Tyran!E701</f>
        <v>19.409836065573771</v>
      </c>
      <c r="K704" s="9">
        <f>Fardo!E701</f>
        <v>15.704918032786885</v>
      </c>
      <c r="L704" s="9">
        <f>Entworpe!E701</f>
        <v>12.5</v>
      </c>
      <c r="M704">
        <f t="shared" si="12"/>
        <v>262</v>
      </c>
    </row>
    <row r="705" spans="1:13" x14ac:dyDescent="0.2">
      <c r="A705">
        <v>701</v>
      </c>
      <c r="B705">
        <f>Calopeia!D337</f>
        <v>3</v>
      </c>
      <c r="C705" s="5">
        <f>Sorange!B702</f>
        <v>2</v>
      </c>
      <c r="D705" s="5">
        <f>Tyran!B702</f>
        <v>0</v>
      </c>
      <c r="E705" s="5">
        <f>Fardo!B702</f>
        <v>26</v>
      </c>
      <c r="F705" s="38">
        <f>Entworpe!B702</f>
        <v>0</v>
      </c>
      <c r="G705" s="6">
        <v>1431</v>
      </c>
      <c r="H705" s="9">
        <f>Calopeia!I337</f>
        <v>13.851523386684786</v>
      </c>
      <c r="I705" s="9">
        <f>Sorange!F702</f>
        <v>116.96574295269947</v>
      </c>
      <c r="J705" s="9">
        <f>Tyran!E702</f>
        <v>18.762841530054644</v>
      </c>
      <c r="K705" s="9">
        <f>Fardo!E702</f>
        <v>15.181420765027323</v>
      </c>
      <c r="L705" s="9">
        <f>Entworpe!E702</f>
        <v>12.083333333333334</v>
      </c>
      <c r="M705">
        <f t="shared" si="12"/>
        <v>3</v>
      </c>
    </row>
    <row r="706" spans="1:13" x14ac:dyDescent="0.2">
      <c r="A706">
        <v>702</v>
      </c>
      <c r="B706">
        <f>Calopeia!D338</f>
        <v>38</v>
      </c>
      <c r="C706" s="5">
        <f>Sorange!B703</f>
        <v>11</v>
      </c>
      <c r="D706" s="5">
        <f>Tyran!B703</f>
        <v>0</v>
      </c>
      <c r="E706" s="5">
        <f>Fardo!B703</f>
        <v>4</v>
      </c>
      <c r="F706" s="38">
        <f>Entworpe!B703</f>
        <v>0</v>
      </c>
      <c r="G706" s="6">
        <v>1432</v>
      </c>
      <c r="H706" s="9">
        <f>Calopeia!I338</f>
        <v>13.373884649212895</v>
      </c>
      <c r="I706" s="9">
        <f>Sorange!F703</f>
        <v>113.07491638795985</v>
      </c>
      <c r="J706" s="9">
        <f>Tyran!E703</f>
        <v>18.11584699453552</v>
      </c>
      <c r="K706" s="9">
        <f>Fardo!E703</f>
        <v>14.657923497267761</v>
      </c>
      <c r="L706" s="9">
        <f>Entworpe!E703</f>
        <v>11.666666666666666</v>
      </c>
      <c r="M706">
        <f t="shared" si="12"/>
        <v>38</v>
      </c>
    </row>
    <row r="707" spans="1:13" x14ac:dyDescent="0.2">
      <c r="A707">
        <v>703</v>
      </c>
      <c r="B707">
        <f>Calopeia!D339</f>
        <v>11</v>
      </c>
      <c r="C707" s="5">
        <f>Sorange!B704</f>
        <v>3</v>
      </c>
      <c r="D707" s="5">
        <f>Tyran!B704</f>
        <v>10</v>
      </c>
      <c r="E707" s="5">
        <f>Fardo!B704</f>
        <v>35</v>
      </c>
      <c r="F707" s="38">
        <f>Entworpe!B704</f>
        <v>0</v>
      </c>
      <c r="G707" s="6">
        <v>1433</v>
      </c>
      <c r="H707" s="9">
        <f>Calopeia!I339</f>
        <v>12.896245911741007</v>
      </c>
      <c r="I707" s="9">
        <f>Sorange!F704</f>
        <v>109.17391304347825</v>
      </c>
      <c r="J707" s="9">
        <f>Tyran!E704</f>
        <v>17.468852459016393</v>
      </c>
      <c r="K707" s="9">
        <f>Fardo!E704</f>
        <v>14.134426229508197</v>
      </c>
      <c r="L707" s="9">
        <f>Entworpe!E704</f>
        <v>11.25</v>
      </c>
      <c r="M707">
        <f t="shared" si="12"/>
        <v>11</v>
      </c>
    </row>
    <row r="708" spans="1:13" x14ac:dyDescent="0.2">
      <c r="A708">
        <v>704</v>
      </c>
      <c r="B708">
        <f>Calopeia!D340</f>
        <v>13</v>
      </c>
      <c r="C708" s="5">
        <f>Sorange!B705</f>
        <v>4</v>
      </c>
      <c r="D708" s="5">
        <f>Tyran!B705</f>
        <v>24</v>
      </c>
      <c r="E708" s="5">
        <f>Fardo!B705</f>
        <v>6</v>
      </c>
      <c r="F708" s="38">
        <f>Entworpe!B705</f>
        <v>0</v>
      </c>
      <c r="G708" s="6">
        <v>1434</v>
      </c>
      <c r="H708" s="9">
        <f>Calopeia!I340</f>
        <v>12.418607174269118</v>
      </c>
      <c r="I708" s="9">
        <f>Sorange!F705</f>
        <v>105.26273291925465</v>
      </c>
      <c r="J708" s="9">
        <f>Tyran!E705</f>
        <v>16.821857923497266</v>
      </c>
      <c r="K708" s="9">
        <f>Fardo!E705</f>
        <v>13.610928961748634</v>
      </c>
      <c r="L708" s="9">
        <f>Entworpe!E705</f>
        <v>10.833333333333334</v>
      </c>
      <c r="M708">
        <f t="shared" si="12"/>
        <v>13</v>
      </c>
    </row>
    <row r="709" spans="1:13" x14ac:dyDescent="0.2">
      <c r="A709">
        <v>705</v>
      </c>
      <c r="B709">
        <f>Calopeia!D341</f>
        <v>2</v>
      </c>
      <c r="C709" s="5">
        <f>Sorange!B706</f>
        <v>10</v>
      </c>
      <c r="D709" s="5">
        <f>Tyran!B706</f>
        <v>22</v>
      </c>
      <c r="E709" s="5">
        <f>Fardo!B706</f>
        <v>6</v>
      </c>
      <c r="F709" s="38">
        <f>Entworpe!B706</f>
        <v>0</v>
      </c>
      <c r="G709" s="6">
        <v>1435</v>
      </c>
      <c r="H709" s="9">
        <f>Calopeia!I341</f>
        <v>11.940968436797228</v>
      </c>
      <c r="I709" s="9">
        <f>Sorange!F706</f>
        <v>101.34137601528906</v>
      </c>
      <c r="J709" s="9">
        <f>Tyran!E706</f>
        <v>16.174863387978142</v>
      </c>
      <c r="K709" s="9">
        <f>Fardo!E706</f>
        <v>13.087431693989071</v>
      </c>
      <c r="L709" s="9">
        <f>Entworpe!E706</f>
        <v>10.416666666666666</v>
      </c>
      <c r="M709">
        <f t="shared" si="12"/>
        <v>2</v>
      </c>
    </row>
    <row r="710" spans="1:13" x14ac:dyDescent="0.2">
      <c r="A710">
        <v>706</v>
      </c>
      <c r="B710">
        <f>Calopeia!D342</f>
        <v>23</v>
      </c>
      <c r="C710" s="5">
        <f>Sorange!B707</f>
        <v>20</v>
      </c>
      <c r="D710" s="5">
        <f>Tyran!B707</f>
        <v>9</v>
      </c>
      <c r="E710" s="5">
        <f>Fardo!B707</f>
        <v>4</v>
      </c>
      <c r="F710" s="38">
        <f>Entworpe!B707</f>
        <v>0</v>
      </c>
      <c r="G710" s="6">
        <v>1436</v>
      </c>
      <c r="H710" s="9">
        <f>Calopeia!I342</f>
        <v>11.463329699325339</v>
      </c>
      <c r="I710" s="9">
        <f>Sorange!F707</f>
        <v>97.409842331581459</v>
      </c>
      <c r="J710" s="9">
        <f>Tyran!E707</f>
        <v>15.527868852459017</v>
      </c>
      <c r="K710" s="9">
        <f>Fardo!E707</f>
        <v>12.563934426229508</v>
      </c>
      <c r="L710" s="9">
        <f>Entworpe!E707</f>
        <v>10</v>
      </c>
      <c r="M710">
        <f t="shared" ref="M710:M734" si="13">B710+F710</f>
        <v>23</v>
      </c>
    </row>
    <row r="711" spans="1:13" x14ac:dyDescent="0.2">
      <c r="A711">
        <v>707</v>
      </c>
      <c r="B711">
        <f>Calopeia!D343</f>
        <v>9</v>
      </c>
      <c r="C711" s="5">
        <f>Sorange!B708</f>
        <v>2</v>
      </c>
      <c r="D711" s="5">
        <f>Tyran!B708</f>
        <v>28</v>
      </c>
      <c r="E711" s="5">
        <f>Fardo!B708</f>
        <v>29</v>
      </c>
      <c r="F711" s="38">
        <f>Entworpe!B708</f>
        <v>0</v>
      </c>
      <c r="G711" s="6">
        <v>1437</v>
      </c>
      <c r="H711" s="9">
        <f>Calopeia!I343</f>
        <v>10.985690961853452</v>
      </c>
      <c r="I711" s="9">
        <f>Sorange!F708</f>
        <v>93.468131868131863</v>
      </c>
      <c r="J711" s="9">
        <f>Tyran!E708</f>
        <v>14.880874316939892</v>
      </c>
      <c r="K711" s="9">
        <f>Fardo!E708</f>
        <v>12.040437158469945</v>
      </c>
      <c r="L711" s="9">
        <f>Entworpe!E708</f>
        <v>9.5833333333333339</v>
      </c>
      <c r="M711">
        <f t="shared" si="13"/>
        <v>9</v>
      </c>
    </row>
    <row r="712" spans="1:13" x14ac:dyDescent="0.2">
      <c r="A712">
        <v>708</v>
      </c>
      <c r="B712">
        <f>Calopeia!D344</f>
        <v>5</v>
      </c>
      <c r="C712" s="5">
        <f>Sorange!B709</f>
        <v>5</v>
      </c>
      <c r="D712" s="5">
        <f>Tyran!B709</f>
        <v>3</v>
      </c>
      <c r="E712" s="5">
        <f>Fardo!B709</f>
        <v>32</v>
      </c>
      <c r="F712" s="38">
        <f>Entworpe!B709</f>
        <v>0</v>
      </c>
      <c r="G712" s="6">
        <v>1438</v>
      </c>
      <c r="H712" s="9">
        <f>Calopeia!I344</f>
        <v>10.508052224381562</v>
      </c>
      <c r="I712" s="9">
        <f>Sorange!F709</f>
        <v>89.516244624940271</v>
      </c>
      <c r="J712" s="9">
        <f>Tyran!E709</f>
        <v>14.233879781420766</v>
      </c>
      <c r="K712" s="9">
        <f>Fardo!E709</f>
        <v>11.516939890710383</v>
      </c>
      <c r="L712" s="9">
        <f>Entworpe!E709</f>
        <v>9.1666666666666661</v>
      </c>
      <c r="M712">
        <f t="shared" si="13"/>
        <v>5</v>
      </c>
    </row>
    <row r="713" spans="1:13" x14ac:dyDescent="0.2">
      <c r="A713">
        <v>709</v>
      </c>
      <c r="B713">
        <f>Calopeia!D345</f>
        <v>10</v>
      </c>
      <c r="C713" s="5">
        <f>Sorange!B710</f>
        <v>4</v>
      </c>
      <c r="D713" s="5">
        <f>Tyran!B710</f>
        <v>0</v>
      </c>
      <c r="E713" s="5">
        <f>Fardo!B710</f>
        <v>16</v>
      </c>
      <c r="F713" s="38">
        <f>Entworpe!B710</f>
        <v>0</v>
      </c>
      <c r="G713" s="6">
        <v>1439</v>
      </c>
      <c r="H713" s="9">
        <f>Calopeia!I345</f>
        <v>10.030413486909673</v>
      </c>
      <c r="I713" s="9">
        <f>Sorange!F710</f>
        <v>85.554180602006682</v>
      </c>
      <c r="J713" s="9">
        <f>Tyran!E710</f>
        <v>13.586885245901639</v>
      </c>
      <c r="K713" s="9">
        <f>Fardo!E710</f>
        <v>10.99344262295082</v>
      </c>
      <c r="L713" s="9">
        <f>Entworpe!E710</f>
        <v>8.75</v>
      </c>
      <c r="M713">
        <f t="shared" si="13"/>
        <v>10</v>
      </c>
    </row>
    <row r="714" spans="1:13" x14ac:dyDescent="0.2">
      <c r="A714">
        <v>710</v>
      </c>
      <c r="B714">
        <f>Calopeia!D346</f>
        <v>9</v>
      </c>
      <c r="C714" s="5">
        <f>Sorange!B711</f>
        <v>29</v>
      </c>
      <c r="D714" s="5">
        <f>Tyran!B711</f>
        <v>21</v>
      </c>
      <c r="E714" s="5">
        <f>Fardo!B711</f>
        <v>27</v>
      </c>
      <c r="F714" s="38">
        <f>Entworpe!B711</f>
        <v>0</v>
      </c>
      <c r="G714" s="6">
        <v>1440</v>
      </c>
      <c r="H714" s="9">
        <f>Calopeia!I346</f>
        <v>9.5527747494377842</v>
      </c>
      <c r="I714" s="9">
        <f>Sorange!F711</f>
        <v>81.58193979933111</v>
      </c>
      <c r="J714" s="9">
        <f>Tyran!E711</f>
        <v>12.939890710382514</v>
      </c>
      <c r="K714" s="9">
        <f>Fardo!E711</f>
        <v>10.469945355191255</v>
      </c>
      <c r="L714" s="9">
        <f>Entworpe!E711</f>
        <v>8.3333333333333339</v>
      </c>
      <c r="M714">
        <f t="shared" si="13"/>
        <v>9</v>
      </c>
    </row>
    <row r="715" spans="1:13" x14ac:dyDescent="0.2">
      <c r="A715">
        <v>711</v>
      </c>
      <c r="B715">
        <f>Calopeia!D347</f>
        <v>10</v>
      </c>
      <c r="C715" s="5">
        <f>Sorange!B712</f>
        <v>2</v>
      </c>
      <c r="D715" s="5">
        <f>Tyran!B712</f>
        <v>21</v>
      </c>
      <c r="E715" s="5">
        <f>Fardo!B712</f>
        <v>0</v>
      </c>
      <c r="F715" s="38">
        <f>Entworpe!B712</f>
        <v>0</v>
      </c>
      <c r="G715" s="6">
        <v>1441</v>
      </c>
      <c r="H715" s="9">
        <f>Calopeia!I347</f>
        <v>9.0751360119658937</v>
      </c>
      <c r="I715" s="9">
        <f>Sorange!F712</f>
        <v>77.599522216913513</v>
      </c>
      <c r="J715" s="9">
        <f>Tyran!E712</f>
        <v>12.292896174863388</v>
      </c>
      <c r="K715" s="9">
        <f>Fardo!E712</f>
        <v>9.9464480874316941</v>
      </c>
      <c r="L715" s="9">
        <f>Entworpe!E712</f>
        <v>7.916666666666667</v>
      </c>
      <c r="M715">
        <f t="shared" si="13"/>
        <v>10</v>
      </c>
    </row>
    <row r="716" spans="1:13" x14ac:dyDescent="0.2">
      <c r="A716">
        <v>712</v>
      </c>
      <c r="B716">
        <f>Calopeia!D348</f>
        <v>11</v>
      </c>
      <c r="C716" s="5">
        <f>Sorange!B713</f>
        <v>10</v>
      </c>
      <c r="D716" s="5">
        <f>Tyran!B713</f>
        <v>10</v>
      </c>
      <c r="E716" s="5">
        <f>Fardo!B713</f>
        <v>21</v>
      </c>
      <c r="F716" s="38">
        <f>Entworpe!B713</f>
        <v>0</v>
      </c>
      <c r="G716" s="6">
        <v>1442</v>
      </c>
      <c r="H716" s="9">
        <f>Calopeia!I348</f>
        <v>8.597497274494005</v>
      </c>
      <c r="I716" s="9">
        <f>Sorange!F713</f>
        <v>73.606927854753934</v>
      </c>
      <c r="J716" s="9">
        <f>Tyran!E713</f>
        <v>11.645901639344261</v>
      </c>
      <c r="K716" s="9">
        <f>Fardo!E713</f>
        <v>9.4229508196721312</v>
      </c>
      <c r="L716" s="9">
        <f>Entworpe!E713</f>
        <v>7.5</v>
      </c>
      <c r="M716">
        <f t="shared" si="13"/>
        <v>11</v>
      </c>
    </row>
    <row r="717" spans="1:13" x14ac:dyDescent="0.2">
      <c r="A717">
        <v>713</v>
      </c>
      <c r="B717">
        <f>Calopeia!D349</f>
        <v>9</v>
      </c>
      <c r="C717" s="5">
        <f>Sorange!B714</f>
        <v>4</v>
      </c>
      <c r="D717" s="5">
        <f>Tyran!B714</f>
        <v>42</v>
      </c>
      <c r="E717" s="5">
        <f>Fardo!B714</f>
        <v>0</v>
      </c>
      <c r="F717" s="38">
        <f>Entworpe!B714</f>
        <v>0</v>
      </c>
      <c r="G717" s="6">
        <v>1443</v>
      </c>
      <c r="H717" s="9">
        <f>Calopeia!I349</f>
        <v>8.1198585370221164</v>
      </c>
      <c r="I717" s="9">
        <f>Sorange!F714</f>
        <v>69.604156712852358</v>
      </c>
      <c r="J717" s="9">
        <f>Tyran!E714</f>
        <v>10.998907103825136</v>
      </c>
      <c r="K717" s="9">
        <f>Fardo!E714</f>
        <v>8.8994535519125684</v>
      </c>
      <c r="L717" s="9">
        <f>Entworpe!E714</f>
        <v>7.083333333333333</v>
      </c>
      <c r="M717">
        <f t="shared" si="13"/>
        <v>9</v>
      </c>
    </row>
    <row r="718" spans="1:13" x14ac:dyDescent="0.2">
      <c r="A718">
        <v>714</v>
      </c>
      <c r="B718">
        <f>Calopeia!D350</f>
        <v>5</v>
      </c>
      <c r="C718" s="5">
        <f>Sorange!B715</f>
        <v>1</v>
      </c>
      <c r="D718" s="5">
        <f>Tyran!B715</f>
        <v>9</v>
      </c>
      <c r="E718" s="5">
        <f>Fardo!B715</f>
        <v>34</v>
      </c>
      <c r="F718" s="38">
        <f>Entworpe!B715</f>
        <v>0</v>
      </c>
      <c r="G718" s="6">
        <v>1444</v>
      </c>
      <c r="H718" s="9">
        <f>Calopeia!I350</f>
        <v>7.6422197995502268</v>
      </c>
      <c r="I718" s="9">
        <f>Sorange!F715</f>
        <v>65.591208791208786</v>
      </c>
      <c r="J718" s="9">
        <f>Tyran!E715</f>
        <v>10.351912568306011</v>
      </c>
      <c r="K718" s="9">
        <f>Fardo!E715</f>
        <v>8.3759562841530055</v>
      </c>
      <c r="L718" s="9">
        <f>Entworpe!E715</f>
        <v>6.666666666666667</v>
      </c>
      <c r="M718">
        <f t="shared" si="13"/>
        <v>5</v>
      </c>
    </row>
    <row r="719" spans="1:13" x14ac:dyDescent="0.2">
      <c r="A719">
        <v>715</v>
      </c>
      <c r="B719">
        <f>Calopeia!D351</f>
        <v>6</v>
      </c>
      <c r="C719" s="5">
        <f>Sorange!B716</f>
        <v>13</v>
      </c>
      <c r="D719" s="5">
        <f>Tyran!B716</f>
        <v>37</v>
      </c>
      <c r="E719" s="5">
        <f>Fardo!B716</f>
        <v>0</v>
      </c>
      <c r="F719" s="38">
        <f>Entworpe!B716</f>
        <v>0</v>
      </c>
      <c r="G719" s="6">
        <v>1445</v>
      </c>
      <c r="H719" s="9">
        <f>Calopeia!I351</f>
        <v>7.1645810620783372</v>
      </c>
      <c r="I719" s="9">
        <f>Sorange!F716</f>
        <v>61.568084089823216</v>
      </c>
      <c r="J719" s="9">
        <f>Tyran!E716</f>
        <v>9.7049180327868854</v>
      </c>
      <c r="K719" s="9">
        <f>Fardo!E716</f>
        <v>7.8524590163934427</v>
      </c>
      <c r="L719" s="9">
        <f>Entworpe!E716</f>
        <v>6.25</v>
      </c>
      <c r="M719">
        <f t="shared" si="13"/>
        <v>6</v>
      </c>
    </row>
    <row r="720" spans="1:13" x14ac:dyDescent="0.2">
      <c r="A720">
        <v>716</v>
      </c>
      <c r="B720">
        <f>Calopeia!D352</f>
        <v>27</v>
      </c>
      <c r="C720" s="5">
        <f>Sorange!B717</f>
        <v>4</v>
      </c>
      <c r="D720" s="5">
        <f>Tyran!B717</f>
        <v>4</v>
      </c>
      <c r="E720" s="5">
        <f>Fardo!B717</f>
        <v>16</v>
      </c>
      <c r="F720" s="38">
        <f>Entworpe!B717</f>
        <v>0</v>
      </c>
      <c r="G720" s="6">
        <v>1446</v>
      </c>
      <c r="H720" s="9">
        <f>Calopeia!I352</f>
        <v>6.6869423246064477</v>
      </c>
      <c r="I720" s="9">
        <f>Sorange!F717</f>
        <v>57.534782608695643</v>
      </c>
      <c r="J720" s="9">
        <f>Tyran!E717</f>
        <v>9.05792349726776</v>
      </c>
      <c r="K720" s="9">
        <f>Fardo!E717</f>
        <v>7.3289617486338807</v>
      </c>
      <c r="L720" s="9">
        <f>Entworpe!E717</f>
        <v>5.833333333333333</v>
      </c>
      <c r="M720">
        <f t="shared" si="13"/>
        <v>27</v>
      </c>
    </row>
    <row r="721" spans="1:13" x14ac:dyDescent="0.2">
      <c r="A721">
        <v>717</v>
      </c>
      <c r="B721">
        <f>Calopeia!D353</f>
        <v>3</v>
      </c>
      <c r="C721" s="5">
        <f>Sorange!B718</f>
        <v>26</v>
      </c>
      <c r="D721" s="5">
        <f>Tyran!B718</f>
        <v>38</v>
      </c>
      <c r="E721" s="5">
        <f>Fardo!B718</f>
        <v>35</v>
      </c>
      <c r="F721" s="38">
        <f>Entworpe!B718</f>
        <v>0</v>
      </c>
      <c r="G721" s="6">
        <v>1447</v>
      </c>
      <c r="H721" s="9">
        <f>Calopeia!I353</f>
        <v>6.209303587134559</v>
      </c>
      <c r="I721" s="9">
        <f>Sorange!F718</f>
        <v>53.49130434782608</v>
      </c>
      <c r="J721" s="9">
        <f>Tyran!E718</f>
        <v>8.4109289617486329</v>
      </c>
      <c r="K721" s="9">
        <f>Fardo!E718</f>
        <v>6.805464480874317</v>
      </c>
      <c r="L721" s="9">
        <f>Entworpe!E718</f>
        <v>5.416666666666667</v>
      </c>
      <c r="M721">
        <f t="shared" si="13"/>
        <v>3</v>
      </c>
    </row>
    <row r="722" spans="1:13" x14ac:dyDescent="0.2">
      <c r="A722">
        <v>718</v>
      </c>
      <c r="B722">
        <f>Calopeia!D354</f>
        <v>1</v>
      </c>
      <c r="C722" s="5">
        <f>Sorange!B719</f>
        <v>7</v>
      </c>
      <c r="D722" s="5">
        <f>Tyran!B719</f>
        <v>9</v>
      </c>
      <c r="E722" s="5">
        <f>Fardo!B719</f>
        <v>19</v>
      </c>
      <c r="F722" s="38">
        <f>Entworpe!B719</f>
        <v>0</v>
      </c>
      <c r="G722" s="6">
        <v>1448</v>
      </c>
      <c r="H722" s="9">
        <f>Calopeia!I354</f>
        <v>5.7316648496626694</v>
      </c>
      <c r="I722" s="9">
        <f>Sorange!F719</f>
        <v>49.437649307214521</v>
      </c>
      <c r="J722" s="9">
        <f>Tyran!E719</f>
        <v>7.7639344262295085</v>
      </c>
      <c r="K722" s="9">
        <f>Fardo!E719</f>
        <v>6.2819672131147541</v>
      </c>
      <c r="L722" s="9">
        <f>Entworpe!E719</f>
        <v>5</v>
      </c>
      <c r="M722">
        <f t="shared" si="13"/>
        <v>1</v>
      </c>
    </row>
    <row r="723" spans="1:13" x14ac:dyDescent="0.2">
      <c r="A723">
        <v>719</v>
      </c>
      <c r="B723">
        <f>Calopeia!D355</f>
        <v>4</v>
      </c>
      <c r="C723" s="5">
        <f>Sorange!B720</f>
        <v>12</v>
      </c>
      <c r="D723" s="5">
        <f>Tyran!B720</f>
        <v>13</v>
      </c>
      <c r="E723" s="5">
        <f>Fardo!B720</f>
        <v>18</v>
      </c>
      <c r="F723" s="38">
        <f>Entworpe!B720</f>
        <v>0</v>
      </c>
      <c r="G723" s="6">
        <v>1449</v>
      </c>
      <c r="H723" s="9">
        <f>Calopeia!I355</f>
        <v>5.2540261121907808</v>
      </c>
      <c r="I723" s="9">
        <f>Sorange!F720</f>
        <v>45.373817486860965</v>
      </c>
      <c r="J723" s="9">
        <f>Tyran!E720</f>
        <v>7.1169398907103831</v>
      </c>
      <c r="K723" s="9">
        <f>Fardo!E720</f>
        <v>5.7584699453551913</v>
      </c>
      <c r="L723" s="9">
        <f>Entworpe!E720</f>
        <v>4.583333333333333</v>
      </c>
      <c r="M723">
        <f t="shared" si="13"/>
        <v>4</v>
      </c>
    </row>
    <row r="724" spans="1:13" x14ac:dyDescent="0.2">
      <c r="A724">
        <v>720</v>
      </c>
      <c r="B724">
        <f>Calopeia!D356</f>
        <v>27</v>
      </c>
      <c r="C724" s="5">
        <f>Sorange!B721</f>
        <v>2</v>
      </c>
      <c r="D724" s="5">
        <f>Tyran!B721</f>
        <v>2</v>
      </c>
      <c r="E724" s="5">
        <f>Fardo!B721</f>
        <v>25</v>
      </c>
      <c r="F724" s="38">
        <f>Entworpe!B721</f>
        <v>0</v>
      </c>
      <c r="G724" s="6">
        <v>1450</v>
      </c>
      <c r="H724" s="9">
        <f>Calopeia!I356</f>
        <v>4.7763873747188921</v>
      </c>
      <c r="I724" s="9">
        <f>Sorange!F721</f>
        <v>41.299808886765405</v>
      </c>
      <c r="J724" s="9">
        <f>Tyran!E721</f>
        <v>6.4699453551912569</v>
      </c>
      <c r="K724" s="9">
        <f>Fardo!E721</f>
        <v>5.2349726775956276</v>
      </c>
      <c r="L724" s="9">
        <f>Entworpe!E721</f>
        <v>4.166666666666667</v>
      </c>
      <c r="M724">
        <f t="shared" si="13"/>
        <v>27</v>
      </c>
    </row>
    <row r="725" spans="1:13" x14ac:dyDescent="0.2">
      <c r="A725">
        <v>721</v>
      </c>
      <c r="B725">
        <f>Calopeia!D357</f>
        <v>2</v>
      </c>
      <c r="C725" s="5">
        <f>Sorange!B722</f>
        <v>17</v>
      </c>
      <c r="D725" s="5">
        <f>Tyran!B722</f>
        <v>36</v>
      </c>
      <c r="E725" s="5">
        <f>Fardo!B722</f>
        <v>3</v>
      </c>
      <c r="F725" s="38">
        <f>Entworpe!B722</f>
        <v>0</v>
      </c>
      <c r="G725" s="6">
        <v>1451</v>
      </c>
      <c r="H725" s="9">
        <f>Calopeia!I357</f>
        <v>4.2987486372470025</v>
      </c>
      <c r="I725" s="9">
        <f>Sorange!F722</f>
        <v>37.215623506927855</v>
      </c>
      <c r="J725" s="9">
        <f>Tyran!E722</f>
        <v>5.8229508196721307</v>
      </c>
      <c r="K725" s="9">
        <f>Fardo!E722</f>
        <v>4.7114754098360656</v>
      </c>
      <c r="L725" s="9">
        <f>Entworpe!E722</f>
        <v>3.75</v>
      </c>
      <c r="M725">
        <f t="shared" si="13"/>
        <v>2</v>
      </c>
    </row>
    <row r="726" spans="1:13" x14ac:dyDescent="0.2">
      <c r="A726">
        <v>722</v>
      </c>
      <c r="B726">
        <f>Calopeia!D358</f>
        <v>13</v>
      </c>
      <c r="C726" s="5">
        <f>Sorange!B723</f>
        <v>3</v>
      </c>
      <c r="D726" s="5">
        <f>Tyran!B723</f>
        <v>19</v>
      </c>
      <c r="E726" s="5">
        <f>Fardo!B723</f>
        <v>6</v>
      </c>
      <c r="F726" s="38">
        <f>Entworpe!B723</f>
        <v>0</v>
      </c>
      <c r="G726" s="6">
        <v>1452</v>
      </c>
      <c r="H726" s="9">
        <f>Calopeia!I358</f>
        <v>3.8211098997751134</v>
      </c>
      <c r="I726" s="9">
        <f>Sorange!F723</f>
        <v>33.121261347348302</v>
      </c>
      <c r="J726" s="9">
        <f>Tyran!E723</f>
        <v>5.1759562841530053</v>
      </c>
      <c r="K726" s="9">
        <f>Fardo!E723</f>
        <v>4.1879781420765028</v>
      </c>
      <c r="L726" s="9">
        <f>Entworpe!E723</f>
        <v>3.3333333333333335</v>
      </c>
      <c r="M726">
        <f t="shared" si="13"/>
        <v>13</v>
      </c>
    </row>
    <row r="727" spans="1:13" x14ac:dyDescent="0.2">
      <c r="A727">
        <v>723</v>
      </c>
      <c r="B727">
        <f>Calopeia!D359</f>
        <v>1</v>
      </c>
      <c r="C727" s="5">
        <f>Sorange!B724</f>
        <v>26</v>
      </c>
      <c r="D727" s="5">
        <f>Tyran!B724</f>
        <v>8</v>
      </c>
      <c r="E727" s="5">
        <f>Fardo!B724</f>
        <v>0</v>
      </c>
      <c r="F727" s="38">
        <f>Entworpe!B724</f>
        <v>0</v>
      </c>
      <c r="G727" s="6">
        <v>1453</v>
      </c>
      <c r="H727" s="9">
        <f>Calopeia!I359</f>
        <v>3.3434711623032238</v>
      </c>
      <c r="I727" s="9">
        <f>Sorange!F724</f>
        <v>29.016722408026752</v>
      </c>
      <c r="J727" s="9">
        <f>Tyran!E724</f>
        <v>4.52896174863388</v>
      </c>
      <c r="K727" s="9">
        <f>Fardo!E724</f>
        <v>3.6644808743169404</v>
      </c>
      <c r="L727" s="9">
        <f>Entworpe!E724</f>
        <v>2.9166666666666665</v>
      </c>
      <c r="M727">
        <f t="shared" si="13"/>
        <v>1</v>
      </c>
    </row>
    <row r="728" spans="1:13" x14ac:dyDescent="0.2">
      <c r="A728">
        <v>724</v>
      </c>
      <c r="B728">
        <f>Calopeia!D360</f>
        <v>27</v>
      </c>
      <c r="C728" s="5">
        <f>Sorange!B725</f>
        <v>17</v>
      </c>
      <c r="D728" s="5">
        <f>Tyran!B725</f>
        <v>2</v>
      </c>
      <c r="E728" s="5">
        <f>Fardo!B725</f>
        <v>25</v>
      </c>
      <c r="F728" s="38">
        <f>Entworpe!B725</f>
        <v>0</v>
      </c>
      <c r="G728" s="6">
        <v>1454</v>
      </c>
      <c r="H728" s="9">
        <f>Calopeia!I360</f>
        <v>2.8658324248313347</v>
      </c>
      <c r="I728" s="9">
        <f>Sorange!F725</f>
        <v>24.902006688963208</v>
      </c>
      <c r="J728" s="9">
        <f>Tyran!E725</f>
        <v>3.8819672131147542</v>
      </c>
      <c r="K728" s="9">
        <f>Fardo!E725</f>
        <v>3.1409836065573771</v>
      </c>
      <c r="L728" s="9">
        <f>Entworpe!E725</f>
        <v>2.5</v>
      </c>
      <c r="M728">
        <f t="shared" si="13"/>
        <v>27</v>
      </c>
    </row>
    <row r="729" spans="1:13" x14ac:dyDescent="0.2">
      <c r="A729">
        <v>725</v>
      </c>
      <c r="B729">
        <f>Calopeia!D361</f>
        <v>3</v>
      </c>
      <c r="C729" s="5">
        <f>Sorange!B726</f>
        <v>2</v>
      </c>
      <c r="D729" s="5">
        <f>Tyran!B726</f>
        <v>36</v>
      </c>
      <c r="E729" s="5">
        <f>Fardo!B726</f>
        <v>15</v>
      </c>
      <c r="F729" s="38">
        <f>Entworpe!B726</f>
        <v>0</v>
      </c>
      <c r="G729" s="6">
        <v>1455</v>
      </c>
      <c r="H729" s="9">
        <f>Calopeia!I361</f>
        <v>2.388193687359446</v>
      </c>
      <c r="I729" s="9">
        <f>Sorange!F726</f>
        <v>20.777114190157665</v>
      </c>
      <c r="J729" s="9">
        <f>Tyran!E726</f>
        <v>3.2349726775956285</v>
      </c>
      <c r="K729" s="9">
        <f>Fardo!E726</f>
        <v>2.6174863387978138</v>
      </c>
      <c r="L729" s="9">
        <f>Entworpe!E726</f>
        <v>2.0833333333333335</v>
      </c>
      <c r="M729">
        <f t="shared" si="13"/>
        <v>3</v>
      </c>
    </row>
    <row r="730" spans="1:13" x14ac:dyDescent="0.2">
      <c r="A730">
        <v>726</v>
      </c>
      <c r="B730">
        <f>Calopeia!D362</f>
        <v>17</v>
      </c>
      <c r="C730" s="5">
        <f>Sorange!B727</f>
        <v>9</v>
      </c>
      <c r="D730" s="5">
        <f>Tyran!B727</f>
        <v>25</v>
      </c>
      <c r="E730" s="5">
        <f>Fardo!B727</f>
        <v>0</v>
      </c>
      <c r="F730" s="38">
        <f>Entworpe!B727</f>
        <v>0</v>
      </c>
      <c r="G730" s="6">
        <v>1456</v>
      </c>
      <c r="H730" s="9">
        <f>Calopeia!I362</f>
        <v>1.9105549498875567</v>
      </c>
      <c r="I730" s="9">
        <f>Sorange!F727</f>
        <v>16.642044911610128</v>
      </c>
      <c r="J730" s="9">
        <f>Tyran!E727</f>
        <v>2.5879781420765027</v>
      </c>
      <c r="K730" s="9">
        <f>Fardo!E727</f>
        <v>2.0939890710382514</v>
      </c>
      <c r="L730" s="9">
        <f>Entworpe!E727</f>
        <v>1.6666666666666667</v>
      </c>
      <c r="M730">
        <f t="shared" si="13"/>
        <v>17</v>
      </c>
    </row>
    <row r="731" spans="1:13" x14ac:dyDescent="0.2">
      <c r="A731">
        <v>727</v>
      </c>
      <c r="B731">
        <f>Calopeia!D363</f>
        <v>2</v>
      </c>
      <c r="C731" s="5">
        <f>Sorange!B728</f>
        <v>20</v>
      </c>
      <c r="D731" s="5">
        <f>Tyran!B728</f>
        <v>43</v>
      </c>
      <c r="E731" s="5">
        <f>Fardo!B728</f>
        <v>32</v>
      </c>
      <c r="F731" s="38">
        <f>Entworpe!B728</f>
        <v>0</v>
      </c>
      <c r="G731" s="6">
        <v>1457</v>
      </c>
      <c r="H731" s="9">
        <f>Calopeia!I363</f>
        <v>1.4329162124156674</v>
      </c>
      <c r="I731" s="9">
        <f>Sorange!F728</f>
        <v>12.496798853320591</v>
      </c>
      <c r="J731" s="9">
        <f>Tyran!E728</f>
        <v>1.9409836065573771</v>
      </c>
      <c r="K731" s="9">
        <f>Fardo!E728</f>
        <v>1.5704918032786885</v>
      </c>
      <c r="L731" s="9">
        <f>Entworpe!E728</f>
        <v>1.25</v>
      </c>
      <c r="M731">
        <f t="shared" si="13"/>
        <v>2</v>
      </c>
    </row>
    <row r="732" spans="1:13" x14ac:dyDescent="0.2">
      <c r="A732">
        <v>728</v>
      </c>
      <c r="B732">
        <f>Calopeia!D364</f>
        <v>8</v>
      </c>
      <c r="C732" s="5">
        <f>Sorange!B729</f>
        <v>45</v>
      </c>
      <c r="D732" s="5">
        <f>Tyran!B729</f>
        <v>4</v>
      </c>
      <c r="E732" s="5">
        <f>Fardo!B729</f>
        <v>11</v>
      </c>
      <c r="F732" s="38">
        <f>Entworpe!B729</f>
        <v>0</v>
      </c>
      <c r="G732" s="6">
        <v>1458</v>
      </c>
      <c r="H732" s="9">
        <f>Calopeia!I364</f>
        <v>0.95527747494377835</v>
      </c>
      <c r="I732" s="9">
        <f>Sorange!F729</f>
        <v>8.3413760152890593</v>
      </c>
      <c r="J732" s="9">
        <f>Tyran!E729</f>
        <v>1.2939890710382513</v>
      </c>
      <c r="K732" s="9">
        <f>Fardo!E729</f>
        <v>1.0469945355191257</v>
      </c>
      <c r="L732" s="9">
        <f>Entworpe!E729</f>
        <v>0.83333333333333337</v>
      </c>
      <c r="M732">
        <f t="shared" si="13"/>
        <v>8</v>
      </c>
    </row>
    <row r="733" spans="1:13" x14ac:dyDescent="0.2">
      <c r="A733">
        <v>729</v>
      </c>
      <c r="B733">
        <f>Calopeia!D365</f>
        <v>4</v>
      </c>
      <c r="C733" s="5">
        <f>Sorange!B730</f>
        <v>11</v>
      </c>
      <c r="D733" s="5">
        <f>Tyran!B730</f>
        <v>13</v>
      </c>
      <c r="E733" s="5">
        <f>Fardo!B730</f>
        <v>0</v>
      </c>
      <c r="F733" s="38">
        <f>Entworpe!B730</f>
        <v>0</v>
      </c>
      <c r="G733" s="6">
        <v>1459</v>
      </c>
      <c r="H733" s="9">
        <f>Calopeia!I365</f>
        <v>0.47763873747188917</v>
      </c>
      <c r="I733" s="9">
        <f>Sorange!F730</f>
        <v>4.175776397515528</v>
      </c>
      <c r="J733" s="9">
        <f>Tyran!E730</f>
        <v>0.64699453551912567</v>
      </c>
      <c r="K733" s="9">
        <f>Fardo!E730</f>
        <v>0.52349726775956285</v>
      </c>
      <c r="L733" s="9">
        <f>Entworpe!E730</f>
        <v>0.41666666666666669</v>
      </c>
      <c r="M733">
        <f t="shared" si="13"/>
        <v>4</v>
      </c>
    </row>
    <row r="734" spans="1:13" x14ac:dyDescent="0.2">
      <c r="A734">
        <v>730</v>
      </c>
      <c r="B734">
        <f>Calopeia!D366</f>
        <v>10</v>
      </c>
      <c r="C734" s="5">
        <f>Sorange!B731</f>
        <v>10</v>
      </c>
      <c r="D734" s="5">
        <f>Tyran!B731</f>
        <v>2</v>
      </c>
      <c r="E734" s="5">
        <f>Fardo!B731</f>
        <v>3</v>
      </c>
      <c r="F734" s="38">
        <f>Entworpe!B731</f>
        <v>0</v>
      </c>
      <c r="G734" s="6">
        <v>1460</v>
      </c>
      <c r="H734" s="9">
        <f>Calopeia!I366</f>
        <v>0</v>
      </c>
      <c r="I734" s="9">
        <f>Sorange!F731</f>
        <v>0</v>
      </c>
      <c r="J734" s="9">
        <f>Tyran!E731</f>
        <v>0</v>
      </c>
      <c r="K734" s="9">
        <f>Fardo!E731</f>
        <v>0</v>
      </c>
      <c r="L734" s="9">
        <f>Entworpe!E731</f>
        <v>0</v>
      </c>
      <c r="M734">
        <f t="shared" si="13"/>
        <v>10</v>
      </c>
    </row>
  </sheetData>
  <mergeCells count="2">
    <mergeCell ref="B1:F1"/>
    <mergeCell ref="H1:L1"/>
  </mergeCells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A2A3-E3D1-A548-9BCF-1D2E7DD4C6F5}">
  <dimension ref="A1:W366"/>
  <sheetViews>
    <sheetView topLeftCell="A327" workbookViewId="0">
      <selection activeCell="F2" sqref="F2"/>
    </sheetView>
  </sheetViews>
  <sheetFormatPr baseColWidth="10" defaultRowHeight="16" x14ac:dyDescent="0.2"/>
  <cols>
    <col min="13" max="13" width="16.5" bestFit="1" customWidth="1"/>
    <col min="14" max="14" width="14.83203125" bestFit="1" customWidth="1"/>
    <col min="15" max="15" width="16.83203125" bestFit="1" customWidth="1"/>
    <col min="16" max="16" width="13.33203125" bestFit="1" customWidth="1"/>
    <col min="17" max="21" width="18.5" customWidth="1"/>
  </cols>
  <sheetData>
    <row r="1" spans="1:16" x14ac:dyDescent="0.2">
      <c r="A1" t="s">
        <v>13</v>
      </c>
      <c r="B1" t="s">
        <v>25</v>
      </c>
      <c r="C1" t="s">
        <v>14</v>
      </c>
      <c r="D1" t="s">
        <v>25</v>
      </c>
      <c r="E1" t="s">
        <v>33</v>
      </c>
      <c r="F1" t="s">
        <v>30</v>
      </c>
      <c r="G1" t="s">
        <v>34</v>
      </c>
      <c r="H1" t="s">
        <v>30</v>
      </c>
      <c r="I1" t="s">
        <v>28</v>
      </c>
      <c r="L1" t="s">
        <v>62</v>
      </c>
    </row>
    <row r="2" spans="1:16" x14ac:dyDescent="0.2">
      <c r="A2">
        <v>1</v>
      </c>
      <c r="B2">
        <v>11</v>
      </c>
      <c r="C2">
        <v>366</v>
      </c>
      <c r="D2">
        <v>5</v>
      </c>
      <c r="E2">
        <f>A2+730</f>
        <v>731</v>
      </c>
      <c r="F2" s="2">
        <f>$P$18</f>
        <v>16.529495073980069</v>
      </c>
      <c r="G2">
        <f>C2+730</f>
        <v>1096</v>
      </c>
      <c r="H2" s="2">
        <f>F2</f>
        <v>16.529495073980069</v>
      </c>
      <c r="L2" t="s">
        <v>12</v>
      </c>
      <c r="M2" t="s">
        <v>6</v>
      </c>
      <c r="N2" s="2">
        <f>AVERAGE(B2:B366,D2:D366)</f>
        <v>39.19315068493151</v>
      </c>
    </row>
    <row r="3" spans="1:16" x14ac:dyDescent="0.2">
      <c r="A3">
        <v>2</v>
      </c>
      <c r="B3">
        <v>7</v>
      </c>
      <c r="C3">
        <v>367</v>
      </c>
      <c r="D3">
        <v>4</v>
      </c>
      <c r="E3">
        <f t="shared" ref="E3:E66" si="0">A3+730</f>
        <v>732</v>
      </c>
      <c r="F3" s="2">
        <f t="shared" ref="F3:F66" si="1">$P$18</f>
        <v>16.529495073980069</v>
      </c>
      <c r="G3">
        <f t="shared" ref="G3:G66" si="2">C3+730</f>
        <v>1097</v>
      </c>
      <c r="H3" s="2">
        <f t="shared" ref="H3:H66" si="3">F3</f>
        <v>16.529495073980069</v>
      </c>
      <c r="M3" t="s">
        <v>22</v>
      </c>
      <c r="N3" s="2">
        <f>AVERAGE(D2:D366)</f>
        <v>38.62191780821918</v>
      </c>
    </row>
    <row r="4" spans="1:16" x14ac:dyDescent="0.2">
      <c r="A4">
        <v>3</v>
      </c>
      <c r="B4">
        <v>4</v>
      </c>
      <c r="C4">
        <v>368</v>
      </c>
      <c r="D4">
        <v>9</v>
      </c>
      <c r="E4">
        <f t="shared" si="0"/>
        <v>733</v>
      </c>
      <c r="F4" s="2">
        <f t="shared" si="1"/>
        <v>16.529495073980069</v>
      </c>
      <c r="G4">
        <f t="shared" si="2"/>
        <v>1098</v>
      </c>
      <c r="H4" s="2">
        <f t="shared" si="3"/>
        <v>16.529495073980069</v>
      </c>
    </row>
    <row r="5" spans="1:16" x14ac:dyDescent="0.2">
      <c r="A5">
        <v>4</v>
      </c>
      <c r="B5">
        <v>8</v>
      </c>
      <c r="C5">
        <v>369</v>
      </c>
      <c r="D5">
        <v>9</v>
      </c>
      <c r="E5">
        <f t="shared" si="0"/>
        <v>734</v>
      </c>
      <c r="F5" s="2">
        <f t="shared" si="1"/>
        <v>16.529495073980069</v>
      </c>
      <c r="G5">
        <f t="shared" si="2"/>
        <v>1099</v>
      </c>
      <c r="H5" s="2">
        <f t="shared" si="3"/>
        <v>16.529495073980069</v>
      </c>
      <c r="M5" t="s">
        <v>11</v>
      </c>
      <c r="N5" t="s">
        <v>9</v>
      </c>
      <c r="O5" t="s">
        <v>10</v>
      </c>
      <c r="P5" t="s">
        <v>24</v>
      </c>
    </row>
    <row r="6" spans="1:16" x14ac:dyDescent="0.2">
      <c r="A6">
        <v>5</v>
      </c>
      <c r="B6">
        <v>5</v>
      </c>
      <c r="C6">
        <v>370</v>
      </c>
      <c r="D6">
        <v>1</v>
      </c>
      <c r="E6">
        <f t="shared" si="0"/>
        <v>735</v>
      </c>
      <c r="F6" s="2">
        <f t="shared" si="1"/>
        <v>16.529495073980069</v>
      </c>
      <c r="G6">
        <f t="shared" si="2"/>
        <v>1100</v>
      </c>
      <c r="H6" s="2">
        <f t="shared" si="3"/>
        <v>16.529495073980069</v>
      </c>
      <c r="L6" t="s">
        <v>20</v>
      </c>
      <c r="M6">
        <v>1</v>
      </c>
      <c r="N6">
        <v>1</v>
      </c>
      <c r="O6">
        <f>N6+72</f>
        <v>73</v>
      </c>
      <c r="P6" s="2">
        <f>AVERAGE(B2:B74)</f>
        <v>16.602739726027398</v>
      </c>
    </row>
    <row r="7" spans="1:16" x14ac:dyDescent="0.2">
      <c r="A7">
        <v>6</v>
      </c>
      <c r="B7">
        <v>8</v>
      </c>
      <c r="C7">
        <v>371</v>
      </c>
      <c r="D7">
        <v>29</v>
      </c>
      <c r="E7">
        <f t="shared" si="0"/>
        <v>736</v>
      </c>
      <c r="F7" s="2">
        <f t="shared" si="1"/>
        <v>16.529495073980069</v>
      </c>
      <c r="G7">
        <f t="shared" si="2"/>
        <v>1101</v>
      </c>
      <c r="H7" s="2">
        <f t="shared" si="3"/>
        <v>16.529495073980069</v>
      </c>
      <c r="L7" t="s">
        <v>16</v>
      </c>
      <c r="M7">
        <v>2</v>
      </c>
      <c r="N7">
        <f>O6+1</f>
        <v>74</v>
      </c>
      <c r="O7">
        <f>N7+72</f>
        <v>146</v>
      </c>
      <c r="P7" s="2">
        <f>AVERAGE(B75:B147)</f>
        <v>48.972602739726028</v>
      </c>
    </row>
    <row r="8" spans="1:16" x14ac:dyDescent="0.2">
      <c r="A8">
        <v>7</v>
      </c>
      <c r="B8">
        <v>14</v>
      </c>
      <c r="C8">
        <v>372</v>
      </c>
      <c r="D8">
        <v>6</v>
      </c>
      <c r="E8">
        <f t="shared" si="0"/>
        <v>737</v>
      </c>
      <c r="F8" s="2">
        <f t="shared" si="1"/>
        <v>16.529495073980069</v>
      </c>
      <c r="G8">
        <f t="shared" si="2"/>
        <v>1102</v>
      </c>
      <c r="H8" s="2">
        <f t="shared" si="3"/>
        <v>16.529495073980069</v>
      </c>
      <c r="L8" t="s">
        <v>8</v>
      </c>
      <c r="M8">
        <v>3</v>
      </c>
      <c r="N8">
        <f t="shared" ref="N8:N15" si="4">O7+1</f>
        <v>147</v>
      </c>
      <c r="O8">
        <f t="shared" ref="O8:O15" si="5">N8+72</f>
        <v>219</v>
      </c>
      <c r="P8" s="2">
        <f>AVERAGE(B148:B220)</f>
        <v>70.780821917808225</v>
      </c>
    </row>
    <row r="9" spans="1:16" x14ac:dyDescent="0.2">
      <c r="A9">
        <v>8</v>
      </c>
      <c r="B9">
        <v>6</v>
      </c>
      <c r="C9">
        <v>373</v>
      </c>
      <c r="D9">
        <v>4</v>
      </c>
      <c r="E9">
        <f t="shared" si="0"/>
        <v>738</v>
      </c>
      <c r="F9" s="2">
        <f t="shared" si="1"/>
        <v>16.529495073980069</v>
      </c>
      <c r="G9">
        <f t="shared" si="2"/>
        <v>1103</v>
      </c>
      <c r="H9" s="2">
        <f t="shared" si="3"/>
        <v>16.529495073980069</v>
      </c>
      <c r="L9" t="s">
        <v>17</v>
      </c>
      <c r="M9">
        <v>4</v>
      </c>
      <c r="N9">
        <f t="shared" si="4"/>
        <v>220</v>
      </c>
      <c r="O9">
        <f t="shared" si="5"/>
        <v>292</v>
      </c>
      <c r="P9" s="2">
        <f>AVERAGE(B221:B293)</f>
        <v>48.93150684931507</v>
      </c>
    </row>
    <row r="10" spans="1:16" x14ac:dyDescent="0.2">
      <c r="A10">
        <v>9</v>
      </c>
      <c r="B10">
        <v>31</v>
      </c>
      <c r="C10">
        <v>374</v>
      </c>
      <c r="D10">
        <v>1</v>
      </c>
      <c r="E10">
        <f t="shared" si="0"/>
        <v>739</v>
      </c>
      <c r="F10" s="2">
        <f t="shared" si="1"/>
        <v>16.529495073980069</v>
      </c>
      <c r="G10">
        <f t="shared" si="2"/>
        <v>1104</v>
      </c>
      <c r="H10" s="2">
        <f t="shared" si="3"/>
        <v>16.529495073980069</v>
      </c>
      <c r="L10" t="s">
        <v>21</v>
      </c>
      <c r="M10">
        <v>5</v>
      </c>
      <c r="N10">
        <f t="shared" si="4"/>
        <v>293</v>
      </c>
      <c r="O10">
        <f t="shared" si="5"/>
        <v>365</v>
      </c>
      <c r="P10" s="2">
        <f>AVERAGE(B294:B366)</f>
        <v>13.534246575342467</v>
      </c>
    </row>
    <row r="11" spans="1:16" x14ac:dyDescent="0.2">
      <c r="A11">
        <v>10</v>
      </c>
      <c r="B11">
        <v>7</v>
      </c>
      <c r="C11">
        <v>375</v>
      </c>
      <c r="D11">
        <v>13</v>
      </c>
      <c r="E11">
        <f t="shared" si="0"/>
        <v>740</v>
      </c>
      <c r="F11" s="2">
        <f t="shared" si="1"/>
        <v>16.529495073980069</v>
      </c>
      <c r="G11">
        <f t="shared" si="2"/>
        <v>1105</v>
      </c>
      <c r="H11" s="2">
        <f t="shared" si="3"/>
        <v>16.529495073980069</v>
      </c>
      <c r="L11" t="s">
        <v>20</v>
      </c>
      <c r="M11">
        <v>6</v>
      </c>
      <c r="N11">
        <f t="shared" si="4"/>
        <v>366</v>
      </c>
      <c r="O11">
        <f t="shared" si="5"/>
        <v>438</v>
      </c>
      <c r="P11" s="2">
        <f>AVERAGE(D2:D74)</f>
        <v>16.945205479452056</v>
      </c>
    </row>
    <row r="12" spans="1:16" x14ac:dyDescent="0.2">
      <c r="A12">
        <v>11</v>
      </c>
      <c r="B12">
        <v>7</v>
      </c>
      <c r="C12">
        <v>376</v>
      </c>
      <c r="D12">
        <v>2</v>
      </c>
      <c r="E12">
        <f t="shared" si="0"/>
        <v>741</v>
      </c>
      <c r="F12" s="2">
        <f t="shared" si="1"/>
        <v>16.529495073980069</v>
      </c>
      <c r="G12">
        <f t="shared" si="2"/>
        <v>1106</v>
      </c>
      <c r="H12" s="2">
        <f t="shared" si="3"/>
        <v>16.529495073980069</v>
      </c>
      <c r="L12" t="s">
        <v>16</v>
      </c>
      <c r="M12">
        <v>7</v>
      </c>
      <c r="N12">
        <f t="shared" si="4"/>
        <v>439</v>
      </c>
      <c r="O12">
        <f t="shared" si="5"/>
        <v>511</v>
      </c>
      <c r="P12" s="2">
        <f>AVERAGE(D75:D147)</f>
        <v>44.575342465753423</v>
      </c>
    </row>
    <row r="13" spans="1:16" x14ac:dyDescent="0.2">
      <c r="A13">
        <v>12</v>
      </c>
      <c r="B13">
        <v>19</v>
      </c>
      <c r="C13">
        <v>377</v>
      </c>
      <c r="D13">
        <v>2</v>
      </c>
      <c r="E13">
        <f t="shared" si="0"/>
        <v>742</v>
      </c>
      <c r="F13" s="2">
        <f t="shared" si="1"/>
        <v>16.529495073980069</v>
      </c>
      <c r="G13">
        <f t="shared" si="2"/>
        <v>1107</v>
      </c>
      <c r="H13" s="2">
        <f t="shared" si="3"/>
        <v>16.529495073980069</v>
      </c>
      <c r="L13" t="s">
        <v>8</v>
      </c>
      <c r="M13">
        <v>8</v>
      </c>
      <c r="N13">
        <f t="shared" si="4"/>
        <v>512</v>
      </c>
      <c r="O13">
        <f t="shared" si="5"/>
        <v>584</v>
      </c>
      <c r="P13" s="2">
        <f>AVERAGE(D148:D220)</f>
        <v>67.041095890410958</v>
      </c>
    </row>
    <row r="14" spans="1:16" x14ac:dyDescent="0.2">
      <c r="A14">
        <v>13</v>
      </c>
      <c r="B14">
        <v>5</v>
      </c>
      <c r="C14">
        <v>378</v>
      </c>
      <c r="D14">
        <v>26</v>
      </c>
      <c r="E14">
        <f t="shared" si="0"/>
        <v>743</v>
      </c>
      <c r="F14" s="2">
        <f t="shared" si="1"/>
        <v>16.529495073980069</v>
      </c>
      <c r="G14">
        <f t="shared" si="2"/>
        <v>1108</v>
      </c>
      <c r="H14" s="2">
        <f t="shared" si="3"/>
        <v>16.529495073980069</v>
      </c>
      <c r="L14" t="s">
        <v>17</v>
      </c>
      <c r="M14">
        <v>9</v>
      </c>
      <c r="N14">
        <f t="shared" si="4"/>
        <v>585</v>
      </c>
      <c r="O14">
        <f t="shared" si="5"/>
        <v>657</v>
      </c>
      <c r="P14" s="2">
        <f>AVERAGE(D221:D293)</f>
        <v>49</v>
      </c>
    </row>
    <row r="15" spans="1:16" x14ac:dyDescent="0.2">
      <c r="A15">
        <v>14</v>
      </c>
      <c r="B15">
        <v>6</v>
      </c>
      <c r="C15">
        <v>379</v>
      </c>
      <c r="D15">
        <v>6</v>
      </c>
      <c r="E15">
        <f t="shared" si="0"/>
        <v>744</v>
      </c>
      <c r="F15" s="2">
        <f t="shared" si="1"/>
        <v>16.529495073980069</v>
      </c>
      <c r="G15">
        <f t="shared" si="2"/>
        <v>1109</v>
      </c>
      <c r="H15" s="2">
        <f t="shared" si="3"/>
        <v>16.529495073980069</v>
      </c>
      <c r="L15" t="s">
        <v>21</v>
      </c>
      <c r="M15">
        <v>10</v>
      </c>
      <c r="N15">
        <f t="shared" si="4"/>
        <v>658</v>
      </c>
      <c r="O15">
        <f t="shared" si="5"/>
        <v>730</v>
      </c>
      <c r="P15" s="2">
        <f>AVERAGE(D294:D366)</f>
        <v>15.547945205479452</v>
      </c>
    </row>
    <row r="16" spans="1:16" x14ac:dyDescent="0.2">
      <c r="A16">
        <v>15</v>
      </c>
      <c r="B16">
        <v>7</v>
      </c>
      <c r="C16">
        <v>380</v>
      </c>
      <c r="D16">
        <v>2</v>
      </c>
      <c r="E16">
        <f t="shared" si="0"/>
        <v>745</v>
      </c>
      <c r="F16" s="2">
        <f t="shared" si="1"/>
        <v>16.529495073980069</v>
      </c>
      <c r="G16">
        <f t="shared" si="2"/>
        <v>1110</v>
      </c>
      <c r="H16" s="2">
        <f t="shared" si="3"/>
        <v>16.529495073980069</v>
      </c>
    </row>
    <row r="17" spans="1:23" x14ac:dyDescent="0.2">
      <c r="A17">
        <v>16</v>
      </c>
      <c r="B17">
        <v>5</v>
      </c>
      <c r="C17">
        <v>381</v>
      </c>
      <c r="D17">
        <v>18</v>
      </c>
      <c r="E17">
        <f t="shared" si="0"/>
        <v>746</v>
      </c>
      <c r="F17" s="2">
        <f t="shared" si="1"/>
        <v>16.529495073980069</v>
      </c>
      <c r="G17">
        <f t="shared" si="2"/>
        <v>1111</v>
      </c>
      <c r="H17" s="2">
        <f t="shared" si="3"/>
        <v>16.529495073980069</v>
      </c>
      <c r="L17" t="s">
        <v>15</v>
      </c>
      <c r="N17" t="s">
        <v>19</v>
      </c>
      <c r="O17" t="s">
        <v>18</v>
      </c>
      <c r="P17" t="s">
        <v>27</v>
      </c>
    </row>
    <row r="18" spans="1:23" x14ac:dyDescent="0.2">
      <c r="A18">
        <v>17</v>
      </c>
      <c r="B18">
        <v>14</v>
      </c>
      <c r="C18">
        <v>382</v>
      </c>
      <c r="D18">
        <v>11</v>
      </c>
      <c r="E18">
        <f t="shared" si="0"/>
        <v>747</v>
      </c>
      <c r="F18" s="2">
        <f t="shared" si="1"/>
        <v>16.529495073980069</v>
      </c>
      <c r="G18">
        <f t="shared" si="2"/>
        <v>1112</v>
      </c>
      <c r="H18" s="2">
        <f t="shared" si="3"/>
        <v>16.529495073980069</v>
      </c>
      <c r="M18" t="s">
        <v>20</v>
      </c>
      <c r="N18" s="2">
        <f>AVERAGEIF($L$6:$L$15,M18,$P$6:$P$15)</f>
        <v>16.773972602739725</v>
      </c>
      <c r="O18" s="1">
        <f>N18/$N$2</f>
        <v>0.42798224459124107</v>
      </c>
      <c r="P18" s="2">
        <f>O18*$N$3</f>
        <v>16.529495073980069</v>
      </c>
    </row>
    <row r="19" spans="1:23" x14ac:dyDescent="0.2">
      <c r="A19">
        <v>18</v>
      </c>
      <c r="B19">
        <v>25</v>
      </c>
      <c r="C19">
        <v>383</v>
      </c>
      <c r="D19">
        <v>9</v>
      </c>
      <c r="E19">
        <f t="shared" si="0"/>
        <v>748</v>
      </c>
      <c r="F19" s="2">
        <f t="shared" si="1"/>
        <v>16.529495073980069</v>
      </c>
      <c r="G19">
        <f t="shared" si="2"/>
        <v>1113</v>
      </c>
      <c r="H19" s="2">
        <f t="shared" si="3"/>
        <v>16.529495073980069</v>
      </c>
      <c r="M19" t="s">
        <v>16</v>
      </c>
      <c r="N19" s="2">
        <f>AVERAGEIF($L$6:$L$15,M19,$P$6:$P$15)</f>
        <v>46.773972602739725</v>
      </c>
      <c r="O19" s="1">
        <f>N19/$N$2</f>
        <v>1.1934221103771276</v>
      </c>
      <c r="P19" s="2">
        <f t="shared" ref="P19:P22" si="6">O19*$N$3</f>
        <v>46.092250657496905</v>
      </c>
    </row>
    <row r="20" spans="1:23" x14ac:dyDescent="0.2">
      <c r="A20">
        <v>19</v>
      </c>
      <c r="B20">
        <v>2</v>
      </c>
      <c r="C20">
        <v>384</v>
      </c>
      <c r="D20">
        <v>7</v>
      </c>
      <c r="E20">
        <f t="shared" si="0"/>
        <v>749</v>
      </c>
      <c r="F20" s="2">
        <f t="shared" si="1"/>
        <v>16.529495073980069</v>
      </c>
      <c r="G20">
        <f t="shared" si="2"/>
        <v>1114</v>
      </c>
      <c r="H20" s="2">
        <f t="shared" si="3"/>
        <v>16.529495073980069</v>
      </c>
      <c r="M20" t="s">
        <v>8</v>
      </c>
      <c r="N20" s="2">
        <f>AVERAGEIF($L$6:$L$15,M20,$P$6:$P$15)</f>
        <v>68.910958904109592</v>
      </c>
      <c r="O20" s="1">
        <f>N20/$N$2</f>
        <v>1.7582398378246129</v>
      </c>
      <c r="P20" s="2">
        <f t="shared" si="6"/>
        <v>67.906594503598825</v>
      </c>
      <c r="V20" s="1"/>
    </row>
    <row r="21" spans="1:23" x14ac:dyDescent="0.2">
      <c r="A21">
        <v>20</v>
      </c>
      <c r="B21">
        <v>4</v>
      </c>
      <c r="C21">
        <v>385</v>
      </c>
      <c r="D21">
        <v>31</v>
      </c>
      <c r="E21">
        <f t="shared" si="0"/>
        <v>750</v>
      </c>
      <c r="F21" s="2">
        <f t="shared" si="1"/>
        <v>16.529495073980069</v>
      </c>
      <c r="G21">
        <f t="shared" si="2"/>
        <v>1115</v>
      </c>
      <c r="H21" s="2">
        <f t="shared" si="3"/>
        <v>16.529495073980069</v>
      </c>
      <c r="M21" t="s">
        <v>17</v>
      </c>
      <c r="N21" s="2">
        <f>AVERAGEIF($L$6:$L$15,M21,$P$6:$P$15)</f>
        <v>48.965753424657535</v>
      </c>
      <c r="O21" s="1">
        <f>N21/$N$2</f>
        <v>1.2493446576491558</v>
      </c>
      <c r="P21" s="2">
        <f t="shared" si="6"/>
        <v>48.252086681863425</v>
      </c>
      <c r="V21" s="1"/>
      <c r="W21" s="1"/>
    </row>
    <row r="22" spans="1:23" x14ac:dyDescent="0.2">
      <c r="A22">
        <v>21</v>
      </c>
      <c r="B22">
        <v>11</v>
      </c>
      <c r="C22">
        <v>386</v>
      </c>
      <c r="D22">
        <v>18</v>
      </c>
      <c r="E22">
        <f t="shared" si="0"/>
        <v>751</v>
      </c>
      <c r="F22" s="2">
        <f t="shared" si="1"/>
        <v>16.529495073980069</v>
      </c>
      <c r="G22">
        <f t="shared" si="2"/>
        <v>1116</v>
      </c>
      <c r="H22" s="2">
        <f t="shared" si="3"/>
        <v>16.529495073980069</v>
      </c>
      <c r="M22" t="s">
        <v>21</v>
      </c>
      <c r="N22" s="2">
        <f>AVERAGEIF($L$6:$L$15,M22,$P$6:$P$15)</f>
        <v>14.54109589041096</v>
      </c>
      <c r="O22" s="1">
        <f>N22/$N$2</f>
        <v>0.37101114955786235</v>
      </c>
      <c r="P22" s="2">
        <f t="shared" si="6"/>
        <v>14.329162124156674</v>
      </c>
      <c r="V22" s="1"/>
    </row>
    <row r="23" spans="1:23" x14ac:dyDescent="0.2">
      <c r="A23">
        <v>22</v>
      </c>
      <c r="B23">
        <v>22</v>
      </c>
      <c r="C23">
        <v>387</v>
      </c>
      <c r="D23">
        <v>30</v>
      </c>
      <c r="E23">
        <f t="shared" si="0"/>
        <v>752</v>
      </c>
      <c r="F23" s="2">
        <f t="shared" si="1"/>
        <v>16.529495073980069</v>
      </c>
      <c r="G23">
        <f t="shared" si="2"/>
        <v>1117</v>
      </c>
      <c r="H23" s="2">
        <f t="shared" si="3"/>
        <v>16.529495073980069</v>
      </c>
      <c r="V23" s="1"/>
    </row>
    <row r="24" spans="1:23" x14ac:dyDescent="0.2">
      <c r="A24">
        <v>23</v>
      </c>
      <c r="B24">
        <v>8</v>
      </c>
      <c r="C24">
        <v>388</v>
      </c>
      <c r="D24">
        <v>2</v>
      </c>
      <c r="E24">
        <f t="shared" si="0"/>
        <v>753</v>
      </c>
      <c r="F24" s="2">
        <f t="shared" si="1"/>
        <v>16.529495073980069</v>
      </c>
      <c r="G24">
        <f t="shared" si="2"/>
        <v>1118</v>
      </c>
      <c r="H24" s="2">
        <f t="shared" si="3"/>
        <v>16.529495073980069</v>
      </c>
      <c r="L24" t="s">
        <v>40</v>
      </c>
      <c r="N24" t="s">
        <v>9</v>
      </c>
      <c r="O24" t="s">
        <v>10</v>
      </c>
      <c r="P24" t="s">
        <v>23</v>
      </c>
      <c r="V24" s="1"/>
    </row>
    <row r="25" spans="1:23" x14ac:dyDescent="0.2">
      <c r="A25">
        <v>24</v>
      </c>
      <c r="B25">
        <v>10</v>
      </c>
      <c r="C25">
        <v>389</v>
      </c>
      <c r="D25">
        <v>8</v>
      </c>
      <c r="E25">
        <f t="shared" si="0"/>
        <v>754</v>
      </c>
      <c r="F25" s="2">
        <f t="shared" si="1"/>
        <v>16.529495073980069</v>
      </c>
      <c r="G25">
        <f t="shared" si="2"/>
        <v>1119</v>
      </c>
      <c r="H25" s="2">
        <f t="shared" si="3"/>
        <v>16.529495073980069</v>
      </c>
      <c r="M25" s="3" t="s">
        <v>20</v>
      </c>
      <c r="N25">
        <f>731</f>
        <v>731</v>
      </c>
      <c r="O25">
        <f>N25+72</f>
        <v>803</v>
      </c>
      <c r="P25" s="2">
        <f>AVERAGE($F$2:$F$74)</f>
        <v>16.529495073980094</v>
      </c>
      <c r="V25" s="1"/>
    </row>
    <row r="26" spans="1:23" x14ac:dyDescent="0.2">
      <c r="A26">
        <v>25</v>
      </c>
      <c r="B26">
        <v>11</v>
      </c>
      <c r="C26">
        <v>390</v>
      </c>
      <c r="D26">
        <v>15</v>
      </c>
      <c r="E26">
        <f t="shared" si="0"/>
        <v>755</v>
      </c>
      <c r="F26" s="2">
        <f t="shared" si="1"/>
        <v>16.529495073980069</v>
      </c>
      <c r="G26">
        <f t="shared" si="2"/>
        <v>1120</v>
      </c>
      <c r="H26" s="2">
        <f t="shared" si="3"/>
        <v>16.529495073980069</v>
      </c>
      <c r="M26" s="3" t="s">
        <v>16</v>
      </c>
      <c r="N26">
        <f>O25+1</f>
        <v>804</v>
      </c>
      <c r="O26">
        <f>N26+72</f>
        <v>876</v>
      </c>
      <c r="P26" s="2">
        <f>AVERAGE($F$75:$F$147)</f>
        <v>46.092250657496947</v>
      </c>
      <c r="V26" s="1"/>
    </row>
    <row r="27" spans="1:23" x14ac:dyDescent="0.2">
      <c r="A27">
        <v>26</v>
      </c>
      <c r="B27">
        <v>16</v>
      </c>
      <c r="C27">
        <v>391</v>
      </c>
      <c r="D27">
        <v>26</v>
      </c>
      <c r="E27">
        <f t="shared" si="0"/>
        <v>756</v>
      </c>
      <c r="F27" s="2">
        <f t="shared" si="1"/>
        <v>16.529495073980069</v>
      </c>
      <c r="G27">
        <f t="shared" si="2"/>
        <v>1121</v>
      </c>
      <c r="H27" s="2">
        <f t="shared" si="3"/>
        <v>16.529495073980069</v>
      </c>
      <c r="M27" s="3" t="s">
        <v>8</v>
      </c>
      <c r="N27">
        <f>O26+1</f>
        <v>877</v>
      </c>
      <c r="O27">
        <f t="shared" ref="O27:O33" si="7">N27+72</f>
        <v>949</v>
      </c>
      <c r="P27" s="2">
        <f>AVERAGE($F$148:$F$220)</f>
        <v>67.906594503598797</v>
      </c>
      <c r="V27" s="1"/>
    </row>
    <row r="28" spans="1:23" x14ac:dyDescent="0.2">
      <c r="A28">
        <v>27</v>
      </c>
      <c r="B28">
        <v>17</v>
      </c>
      <c r="C28">
        <v>392</v>
      </c>
      <c r="D28">
        <v>6</v>
      </c>
      <c r="E28">
        <f t="shared" si="0"/>
        <v>757</v>
      </c>
      <c r="F28" s="2">
        <f t="shared" si="1"/>
        <v>16.529495073980069</v>
      </c>
      <c r="G28">
        <f t="shared" si="2"/>
        <v>1122</v>
      </c>
      <c r="H28" s="2">
        <f t="shared" si="3"/>
        <v>16.529495073980069</v>
      </c>
      <c r="M28" s="3" t="s">
        <v>17</v>
      </c>
      <c r="N28">
        <f t="shared" ref="N28:N35" si="8">O27+1</f>
        <v>950</v>
      </c>
      <c r="O28">
        <f t="shared" si="7"/>
        <v>1022</v>
      </c>
      <c r="P28" s="2">
        <f>AVERAGE($F$221:$F$293)</f>
        <v>48.252086681863474</v>
      </c>
      <c r="V28" s="1"/>
    </row>
    <row r="29" spans="1:23" x14ac:dyDescent="0.2">
      <c r="A29">
        <v>28</v>
      </c>
      <c r="B29">
        <v>12</v>
      </c>
      <c r="C29">
        <v>393</v>
      </c>
      <c r="D29">
        <v>16</v>
      </c>
      <c r="E29">
        <f t="shared" si="0"/>
        <v>758</v>
      </c>
      <c r="F29" s="2">
        <f t="shared" si="1"/>
        <v>16.529495073980069</v>
      </c>
      <c r="G29">
        <f t="shared" si="2"/>
        <v>1123</v>
      </c>
      <c r="H29" s="2">
        <f t="shared" si="3"/>
        <v>16.529495073980069</v>
      </c>
      <c r="M29" s="3" t="s">
        <v>21</v>
      </c>
      <c r="N29">
        <f t="shared" si="8"/>
        <v>1023</v>
      </c>
      <c r="O29">
        <f t="shared" si="7"/>
        <v>1095</v>
      </c>
      <c r="P29" s="2">
        <f>AVERAGE($F$294:$F$366)</f>
        <v>14.329162124156689</v>
      </c>
      <c r="V29" s="1"/>
    </row>
    <row r="30" spans="1:23" x14ac:dyDescent="0.2">
      <c r="A30">
        <v>29</v>
      </c>
      <c r="B30">
        <v>7</v>
      </c>
      <c r="C30">
        <v>394</v>
      </c>
      <c r="D30">
        <v>13</v>
      </c>
      <c r="E30">
        <f t="shared" si="0"/>
        <v>759</v>
      </c>
      <c r="F30" s="2">
        <f t="shared" si="1"/>
        <v>16.529495073980069</v>
      </c>
      <c r="G30">
        <f t="shared" si="2"/>
        <v>1124</v>
      </c>
      <c r="H30" s="2">
        <f t="shared" si="3"/>
        <v>16.529495073980069</v>
      </c>
      <c r="M30" s="4" t="s">
        <v>20</v>
      </c>
      <c r="N30">
        <f t="shared" si="8"/>
        <v>1096</v>
      </c>
      <c r="O30">
        <f t="shared" si="7"/>
        <v>1168</v>
      </c>
      <c r="P30" s="2">
        <f>AVERAGE($H$2:$H$74)</f>
        <v>16.529495073980094</v>
      </c>
    </row>
    <row r="31" spans="1:23" x14ac:dyDescent="0.2">
      <c r="A31">
        <v>30</v>
      </c>
      <c r="B31">
        <v>4</v>
      </c>
      <c r="C31">
        <v>395</v>
      </c>
      <c r="D31">
        <v>10</v>
      </c>
      <c r="E31">
        <f t="shared" si="0"/>
        <v>760</v>
      </c>
      <c r="F31" s="2">
        <f t="shared" si="1"/>
        <v>16.529495073980069</v>
      </c>
      <c r="G31">
        <f t="shared" si="2"/>
        <v>1125</v>
      </c>
      <c r="H31" s="2">
        <f t="shared" si="3"/>
        <v>16.529495073980069</v>
      </c>
      <c r="M31" s="4" t="s">
        <v>16</v>
      </c>
      <c r="N31">
        <f t="shared" si="8"/>
        <v>1169</v>
      </c>
      <c r="O31">
        <f t="shared" si="7"/>
        <v>1241</v>
      </c>
      <c r="P31" s="2">
        <f>AVERAGE($H$75:$H$147)</f>
        <v>46.092250657496947</v>
      </c>
    </row>
    <row r="32" spans="1:23" x14ac:dyDescent="0.2">
      <c r="A32">
        <v>31</v>
      </c>
      <c r="B32">
        <v>25</v>
      </c>
      <c r="C32">
        <v>396</v>
      </c>
      <c r="D32">
        <v>4</v>
      </c>
      <c r="E32">
        <f t="shared" si="0"/>
        <v>761</v>
      </c>
      <c r="F32" s="2">
        <f t="shared" si="1"/>
        <v>16.529495073980069</v>
      </c>
      <c r="G32">
        <f t="shared" si="2"/>
        <v>1126</v>
      </c>
      <c r="H32" s="2">
        <f t="shared" si="3"/>
        <v>16.529495073980069</v>
      </c>
      <c r="M32" s="4" t="s">
        <v>8</v>
      </c>
      <c r="N32">
        <f t="shared" si="8"/>
        <v>1242</v>
      </c>
      <c r="O32">
        <f t="shared" si="7"/>
        <v>1314</v>
      </c>
      <c r="P32" s="2">
        <f>AVERAGE($H$148:$H$220)</f>
        <v>67.906594503598797</v>
      </c>
    </row>
    <row r="33" spans="1:16" x14ac:dyDescent="0.2">
      <c r="A33">
        <v>32</v>
      </c>
      <c r="B33">
        <v>2</v>
      </c>
      <c r="C33">
        <v>397</v>
      </c>
      <c r="D33">
        <v>21</v>
      </c>
      <c r="E33">
        <f t="shared" si="0"/>
        <v>762</v>
      </c>
      <c r="F33" s="2">
        <f t="shared" si="1"/>
        <v>16.529495073980069</v>
      </c>
      <c r="G33">
        <f t="shared" si="2"/>
        <v>1127</v>
      </c>
      <c r="H33" s="2">
        <f t="shared" si="3"/>
        <v>16.529495073980069</v>
      </c>
      <c r="M33" s="4" t="s">
        <v>17</v>
      </c>
      <c r="N33">
        <f t="shared" si="8"/>
        <v>1315</v>
      </c>
      <c r="O33">
        <f t="shared" si="7"/>
        <v>1387</v>
      </c>
      <c r="P33" s="2">
        <f>AVERAGE($H$221:$H$293)</f>
        <v>48.252086681863474</v>
      </c>
    </row>
    <row r="34" spans="1:16" x14ac:dyDescent="0.2">
      <c r="A34">
        <v>33</v>
      </c>
      <c r="B34">
        <v>14</v>
      </c>
      <c r="C34">
        <v>398</v>
      </c>
      <c r="D34">
        <v>11</v>
      </c>
      <c r="E34">
        <f t="shared" si="0"/>
        <v>763</v>
      </c>
      <c r="F34" s="2">
        <f t="shared" si="1"/>
        <v>16.529495073980069</v>
      </c>
      <c r="G34">
        <f t="shared" si="2"/>
        <v>1128</v>
      </c>
      <c r="H34" s="2">
        <f t="shared" si="3"/>
        <v>16.529495073980069</v>
      </c>
      <c r="M34" s="4" t="s">
        <v>21</v>
      </c>
      <c r="N34">
        <f t="shared" si="8"/>
        <v>1388</v>
      </c>
      <c r="O34">
        <f>N34+41</f>
        <v>1429</v>
      </c>
      <c r="P34" s="2">
        <f>AVERAGE($H$294:$H$335)</f>
        <v>14.329162124156673</v>
      </c>
    </row>
    <row r="35" spans="1:16" x14ac:dyDescent="0.2">
      <c r="A35">
        <v>34</v>
      </c>
      <c r="B35">
        <v>13</v>
      </c>
      <c r="C35">
        <v>399</v>
      </c>
      <c r="D35">
        <v>5</v>
      </c>
      <c r="E35">
        <f t="shared" si="0"/>
        <v>764</v>
      </c>
      <c r="F35" s="2">
        <f t="shared" si="1"/>
        <v>16.529495073980069</v>
      </c>
      <c r="G35">
        <f t="shared" si="2"/>
        <v>1129</v>
      </c>
      <c r="H35" s="2">
        <f t="shared" si="3"/>
        <v>16.529495073980069</v>
      </c>
      <c r="M35" s="6" t="s">
        <v>48</v>
      </c>
      <c r="N35">
        <f t="shared" si="8"/>
        <v>1430</v>
      </c>
      <c r="O35">
        <f>N35+30</f>
        <v>1460</v>
      </c>
      <c r="P35" s="2">
        <f>AVERAGE($I$336:$I$366)</f>
        <v>7.1645810620783363</v>
      </c>
    </row>
    <row r="36" spans="1:16" x14ac:dyDescent="0.2">
      <c r="A36">
        <v>35</v>
      </c>
      <c r="B36">
        <v>25</v>
      </c>
      <c r="C36">
        <v>400</v>
      </c>
      <c r="D36">
        <v>4</v>
      </c>
      <c r="E36">
        <f t="shared" si="0"/>
        <v>765</v>
      </c>
      <c r="F36" s="2">
        <f t="shared" si="1"/>
        <v>16.529495073980069</v>
      </c>
      <c r="G36">
        <f t="shared" si="2"/>
        <v>1130</v>
      </c>
      <c r="H36" s="2">
        <f t="shared" si="3"/>
        <v>16.529495073980069</v>
      </c>
    </row>
    <row r="37" spans="1:16" x14ac:dyDescent="0.2">
      <c r="A37">
        <v>36</v>
      </c>
      <c r="B37">
        <v>13</v>
      </c>
      <c r="C37">
        <v>401</v>
      </c>
      <c r="D37">
        <v>18</v>
      </c>
      <c r="E37">
        <f t="shared" si="0"/>
        <v>766</v>
      </c>
      <c r="F37" s="2">
        <f t="shared" si="1"/>
        <v>16.529495073980069</v>
      </c>
      <c r="G37">
        <f t="shared" si="2"/>
        <v>1131</v>
      </c>
      <c r="H37" s="2">
        <f t="shared" si="3"/>
        <v>16.529495073980069</v>
      </c>
      <c r="N37" s="2"/>
    </row>
    <row r="38" spans="1:16" x14ac:dyDescent="0.2">
      <c r="A38">
        <v>37</v>
      </c>
      <c r="B38">
        <v>8</v>
      </c>
      <c r="C38">
        <v>402</v>
      </c>
      <c r="D38">
        <v>21</v>
      </c>
      <c r="E38">
        <f t="shared" si="0"/>
        <v>767</v>
      </c>
      <c r="F38" s="2">
        <f t="shared" si="1"/>
        <v>16.529495073980069</v>
      </c>
      <c r="G38">
        <f t="shared" si="2"/>
        <v>1132</v>
      </c>
      <c r="H38" s="2">
        <f t="shared" si="3"/>
        <v>16.529495073980069</v>
      </c>
    </row>
    <row r="39" spans="1:16" x14ac:dyDescent="0.2">
      <c r="A39">
        <v>38</v>
      </c>
      <c r="B39">
        <v>17</v>
      </c>
      <c r="C39">
        <v>403</v>
      </c>
      <c r="D39">
        <v>24</v>
      </c>
      <c r="E39">
        <f t="shared" si="0"/>
        <v>768</v>
      </c>
      <c r="F39" s="2">
        <f t="shared" si="1"/>
        <v>16.529495073980069</v>
      </c>
      <c r="G39">
        <f t="shared" si="2"/>
        <v>1133</v>
      </c>
      <c r="H39" s="2">
        <f t="shared" si="3"/>
        <v>16.529495073980069</v>
      </c>
    </row>
    <row r="40" spans="1:16" x14ac:dyDescent="0.2">
      <c r="A40">
        <v>39</v>
      </c>
      <c r="B40">
        <v>24</v>
      </c>
      <c r="C40">
        <v>404</v>
      </c>
      <c r="D40">
        <v>4</v>
      </c>
      <c r="E40">
        <f t="shared" si="0"/>
        <v>769</v>
      </c>
      <c r="F40" s="2">
        <f t="shared" si="1"/>
        <v>16.529495073980069</v>
      </c>
      <c r="G40">
        <f t="shared" si="2"/>
        <v>1134</v>
      </c>
      <c r="H40" s="2">
        <f t="shared" si="3"/>
        <v>16.529495073980069</v>
      </c>
    </row>
    <row r="41" spans="1:16" x14ac:dyDescent="0.2">
      <c r="A41">
        <v>40</v>
      </c>
      <c r="B41">
        <v>6</v>
      </c>
      <c r="C41">
        <v>405</v>
      </c>
      <c r="D41">
        <v>5</v>
      </c>
      <c r="E41">
        <f t="shared" si="0"/>
        <v>770</v>
      </c>
      <c r="F41" s="2">
        <f t="shared" si="1"/>
        <v>16.529495073980069</v>
      </c>
      <c r="G41">
        <f t="shared" si="2"/>
        <v>1135</v>
      </c>
      <c r="H41" s="2">
        <f t="shared" si="3"/>
        <v>16.529495073980069</v>
      </c>
    </row>
    <row r="42" spans="1:16" x14ac:dyDescent="0.2">
      <c r="A42">
        <v>41</v>
      </c>
      <c r="B42">
        <v>19</v>
      </c>
      <c r="C42">
        <v>406</v>
      </c>
      <c r="D42">
        <v>12</v>
      </c>
      <c r="E42">
        <f t="shared" si="0"/>
        <v>771</v>
      </c>
      <c r="F42" s="2">
        <f t="shared" si="1"/>
        <v>16.529495073980069</v>
      </c>
      <c r="G42">
        <f t="shared" si="2"/>
        <v>1136</v>
      </c>
      <c r="H42" s="2">
        <f t="shared" si="3"/>
        <v>16.529495073980069</v>
      </c>
    </row>
    <row r="43" spans="1:16" x14ac:dyDescent="0.2">
      <c r="A43">
        <v>42</v>
      </c>
      <c r="B43">
        <v>33</v>
      </c>
      <c r="C43">
        <v>407</v>
      </c>
      <c r="D43">
        <v>18</v>
      </c>
      <c r="E43">
        <f t="shared" si="0"/>
        <v>772</v>
      </c>
      <c r="F43" s="2">
        <f t="shared" si="1"/>
        <v>16.529495073980069</v>
      </c>
      <c r="G43">
        <f t="shared" si="2"/>
        <v>1137</v>
      </c>
      <c r="H43" s="2">
        <f t="shared" si="3"/>
        <v>16.529495073980069</v>
      </c>
    </row>
    <row r="44" spans="1:16" x14ac:dyDescent="0.2">
      <c r="A44">
        <v>43</v>
      </c>
      <c r="B44">
        <v>7</v>
      </c>
      <c r="C44">
        <v>408</v>
      </c>
      <c r="D44">
        <v>10</v>
      </c>
      <c r="E44">
        <f t="shared" si="0"/>
        <v>773</v>
      </c>
      <c r="F44" s="2">
        <f t="shared" si="1"/>
        <v>16.529495073980069</v>
      </c>
      <c r="G44">
        <f t="shared" si="2"/>
        <v>1138</v>
      </c>
      <c r="H44" s="2">
        <f t="shared" si="3"/>
        <v>16.529495073980069</v>
      </c>
    </row>
    <row r="45" spans="1:16" x14ac:dyDescent="0.2">
      <c r="A45">
        <v>44</v>
      </c>
      <c r="B45">
        <v>18</v>
      </c>
      <c r="C45">
        <v>409</v>
      </c>
      <c r="D45">
        <v>9</v>
      </c>
      <c r="E45">
        <f t="shared" si="0"/>
        <v>774</v>
      </c>
      <c r="F45" s="2">
        <f t="shared" si="1"/>
        <v>16.529495073980069</v>
      </c>
      <c r="G45">
        <f t="shared" si="2"/>
        <v>1139</v>
      </c>
      <c r="H45" s="2">
        <f t="shared" si="3"/>
        <v>16.529495073980069</v>
      </c>
    </row>
    <row r="46" spans="1:16" x14ac:dyDescent="0.2">
      <c r="A46">
        <v>45</v>
      </c>
      <c r="B46">
        <v>12</v>
      </c>
      <c r="C46">
        <v>410</v>
      </c>
      <c r="D46">
        <v>33</v>
      </c>
      <c r="E46">
        <f t="shared" si="0"/>
        <v>775</v>
      </c>
      <c r="F46" s="2">
        <f t="shared" si="1"/>
        <v>16.529495073980069</v>
      </c>
      <c r="G46">
        <f t="shared" si="2"/>
        <v>1140</v>
      </c>
      <c r="H46" s="2">
        <f t="shared" si="3"/>
        <v>16.529495073980069</v>
      </c>
    </row>
    <row r="47" spans="1:16" x14ac:dyDescent="0.2">
      <c r="A47">
        <v>46</v>
      </c>
      <c r="B47">
        <v>7</v>
      </c>
      <c r="C47">
        <v>411</v>
      </c>
      <c r="D47">
        <v>22</v>
      </c>
      <c r="E47">
        <f t="shared" si="0"/>
        <v>776</v>
      </c>
      <c r="F47" s="2">
        <f t="shared" si="1"/>
        <v>16.529495073980069</v>
      </c>
      <c r="G47">
        <f t="shared" si="2"/>
        <v>1141</v>
      </c>
      <c r="H47" s="2">
        <f t="shared" si="3"/>
        <v>16.529495073980069</v>
      </c>
    </row>
    <row r="48" spans="1:16" x14ac:dyDescent="0.2">
      <c r="A48">
        <v>47</v>
      </c>
      <c r="B48">
        <v>3</v>
      </c>
      <c r="C48">
        <v>412</v>
      </c>
      <c r="D48">
        <v>63</v>
      </c>
      <c r="E48">
        <f t="shared" si="0"/>
        <v>777</v>
      </c>
      <c r="F48" s="2">
        <f t="shared" si="1"/>
        <v>16.529495073980069</v>
      </c>
      <c r="G48">
        <f t="shared" si="2"/>
        <v>1142</v>
      </c>
      <c r="H48" s="2">
        <f t="shared" si="3"/>
        <v>16.529495073980069</v>
      </c>
    </row>
    <row r="49" spans="1:8" x14ac:dyDescent="0.2">
      <c r="A49">
        <v>48</v>
      </c>
      <c r="B49">
        <v>25</v>
      </c>
      <c r="C49">
        <v>413</v>
      </c>
      <c r="D49">
        <v>25</v>
      </c>
      <c r="E49">
        <f t="shared" si="0"/>
        <v>778</v>
      </c>
      <c r="F49" s="2">
        <f t="shared" si="1"/>
        <v>16.529495073980069</v>
      </c>
      <c r="G49">
        <f t="shared" si="2"/>
        <v>1143</v>
      </c>
      <c r="H49" s="2">
        <f t="shared" si="3"/>
        <v>16.529495073980069</v>
      </c>
    </row>
    <row r="50" spans="1:8" x14ac:dyDescent="0.2">
      <c r="A50">
        <v>49</v>
      </c>
      <c r="B50">
        <v>15</v>
      </c>
      <c r="C50">
        <v>414</v>
      </c>
      <c r="D50">
        <v>19</v>
      </c>
      <c r="E50">
        <f t="shared" si="0"/>
        <v>779</v>
      </c>
      <c r="F50" s="2">
        <f t="shared" si="1"/>
        <v>16.529495073980069</v>
      </c>
      <c r="G50">
        <f t="shared" si="2"/>
        <v>1144</v>
      </c>
      <c r="H50" s="2">
        <f t="shared" si="3"/>
        <v>16.529495073980069</v>
      </c>
    </row>
    <row r="51" spans="1:8" x14ac:dyDescent="0.2">
      <c r="A51">
        <v>50</v>
      </c>
      <c r="B51">
        <v>38</v>
      </c>
      <c r="C51">
        <v>415</v>
      </c>
      <c r="D51">
        <v>20</v>
      </c>
      <c r="E51">
        <f t="shared" si="0"/>
        <v>780</v>
      </c>
      <c r="F51" s="2">
        <f t="shared" si="1"/>
        <v>16.529495073980069</v>
      </c>
      <c r="G51">
        <f t="shared" si="2"/>
        <v>1145</v>
      </c>
      <c r="H51" s="2">
        <f t="shared" si="3"/>
        <v>16.529495073980069</v>
      </c>
    </row>
    <row r="52" spans="1:8" x14ac:dyDescent="0.2">
      <c r="A52">
        <v>51</v>
      </c>
      <c r="B52">
        <v>28</v>
      </c>
      <c r="C52">
        <v>416</v>
      </c>
      <c r="D52">
        <v>15</v>
      </c>
      <c r="E52">
        <f t="shared" si="0"/>
        <v>781</v>
      </c>
      <c r="F52" s="2">
        <f t="shared" si="1"/>
        <v>16.529495073980069</v>
      </c>
      <c r="G52">
        <f t="shared" si="2"/>
        <v>1146</v>
      </c>
      <c r="H52" s="2">
        <f t="shared" si="3"/>
        <v>16.529495073980069</v>
      </c>
    </row>
    <row r="53" spans="1:8" x14ac:dyDescent="0.2">
      <c r="A53">
        <v>52</v>
      </c>
      <c r="B53">
        <v>22</v>
      </c>
      <c r="C53">
        <v>417</v>
      </c>
      <c r="D53">
        <v>21</v>
      </c>
      <c r="E53">
        <f t="shared" si="0"/>
        <v>782</v>
      </c>
      <c r="F53" s="2">
        <f t="shared" si="1"/>
        <v>16.529495073980069</v>
      </c>
      <c r="G53">
        <f t="shared" si="2"/>
        <v>1147</v>
      </c>
      <c r="H53" s="2">
        <f t="shared" si="3"/>
        <v>16.529495073980069</v>
      </c>
    </row>
    <row r="54" spans="1:8" x14ac:dyDescent="0.2">
      <c r="A54">
        <v>53</v>
      </c>
      <c r="B54">
        <v>5</v>
      </c>
      <c r="C54">
        <v>418</v>
      </c>
      <c r="D54">
        <v>25</v>
      </c>
      <c r="E54">
        <f t="shared" si="0"/>
        <v>783</v>
      </c>
      <c r="F54" s="2">
        <f t="shared" si="1"/>
        <v>16.529495073980069</v>
      </c>
      <c r="G54">
        <f t="shared" si="2"/>
        <v>1148</v>
      </c>
      <c r="H54" s="2">
        <f t="shared" si="3"/>
        <v>16.529495073980069</v>
      </c>
    </row>
    <row r="55" spans="1:8" x14ac:dyDescent="0.2">
      <c r="A55">
        <v>54</v>
      </c>
      <c r="B55">
        <v>22</v>
      </c>
      <c r="C55">
        <v>419</v>
      </c>
      <c r="D55">
        <v>15</v>
      </c>
      <c r="E55">
        <f t="shared" si="0"/>
        <v>784</v>
      </c>
      <c r="F55" s="2">
        <f t="shared" si="1"/>
        <v>16.529495073980069</v>
      </c>
      <c r="G55">
        <f t="shared" si="2"/>
        <v>1149</v>
      </c>
      <c r="H55" s="2">
        <f t="shared" si="3"/>
        <v>16.529495073980069</v>
      </c>
    </row>
    <row r="56" spans="1:8" x14ac:dyDescent="0.2">
      <c r="A56">
        <v>55</v>
      </c>
      <c r="B56">
        <v>6</v>
      </c>
      <c r="C56">
        <v>420</v>
      </c>
      <c r="D56">
        <v>23</v>
      </c>
      <c r="E56">
        <f t="shared" si="0"/>
        <v>785</v>
      </c>
      <c r="F56" s="2">
        <f t="shared" si="1"/>
        <v>16.529495073980069</v>
      </c>
      <c r="G56">
        <f t="shared" si="2"/>
        <v>1150</v>
      </c>
      <c r="H56" s="2">
        <f t="shared" si="3"/>
        <v>16.529495073980069</v>
      </c>
    </row>
    <row r="57" spans="1:8" x14ac:dyDescent="0.2">
      <c r="A57">
        <v>56</v>
      </c>
      <c r="B57">
        <v>10</v>
      </c>
      <c r="C57">
        <v>421</v>
      </c>
      <c r="D57">
        <v>16</v>
      </c>
      <c r="E57">
        <f t="shared" si="0"/>
        <v>786</v>
      </c>
      <c r="F57" s="2">
        <f t="shared" si="1"/>
        <v>16.529495073980069</v>
      </c>
      <c r="G57">
        <f t="shared" si="2"/>
        <v>1151</v>
      </c>
      <c r="H57" s="2">
        <f t="shared" si="3"/>
        <v>16.529495073980069</v>
      </c>
    </row>
    <row r="58" spans="1:8" x14ac:dyDescent="0.2">
      <c r="A58">
        <v>57</v>
      </c>
      <c r="B58">
        <v>14</v>
      </c>
      <c r="C58">
        <v>422</v>
      </c>
      <c r="D58">
        <v>19</v>
      </c>
      <c r="E58">
        <f t="shared" si="0"/>
        <v>787</v>
      </c>
      <c r="F58" s="2">
        <f t="shared" si="1"/>
        <v>16.529495073980069</v>
      </c>
      <c r="G58">
        <f t="shared" si="2"/>
        <v>1152</v>
      </c>
      <c r="H58" s="2">
        <f t="shared" si="3"/>
        <v>16.529495073980069</v>
      </c>
    </row>
    <row r="59" spans="1:8" x14ac:dyDescent="0.2">
      <c r="A59">
        <v>58</v>
      </c>
      <c r="B59">
        <v>23</v>
      </c>
      <c r="C59">
        <v>423</v>
      </c>
      <c r="D59">
        <v>18</v>
      </c>
      <c r="E59">
        <f t="shared" si="0"/>
        <v>788</v>
      </c>
      <c r="F59" s="2">
        <f t="shared" si="1"/>
        <v>16.529495073980069</v>
      </c>
      <c r="G59">
        <f t="shared" si="2"/>
        <v>1153</v>
      </c>
      <c r="H59" s="2">
        <f t="shared" si="3"/>
        <v>16.529495073980069</v>
      </c>
    </row>
    <row r="60" spans="1:8" x14ac:dyDescent="0.2">
      <c r="A60">
        <v>59</v>
      </c>
      <c r="B60">
        <v>40</v>
      </c>
      <c r="C60">
        <v>424</v>
      </c>
      <c r="D60">
        <v>22</v>
      </c>
      <c r="E60">
        <f t="shared" si="0"/>
        <v>789</v>
      </c>
      <c r="F60" s="2">
        <f t="shared" si="1"/>
        <v>16.529495073980069</v>
      </c>
      <c r="G60">
        <f t="shared" si="2"/>
        <v>1154</v>
      </c>
      <c r="H60" s="2">
        <f t="shared" si="3"/>
        <v>16.529495073980069</v>
      </c>
    </row>
    <row r="61" spans="1:8" x14ac:dyDescent="0.2">
      <c r="A61">
        <v>60</v>
      </c>
      <c r="B61">
        <v>18</v>
      </c>
      <c r="C61">
        <v>425</v>
      </c>
      <c r="D61">
        <v>23</v>
      </c>
      <c r="E61">
        <f t="shared" si="0"/>
        <v>790</v>
      </c>
      <c r="F61" s="2">
        <f t="shared" si="1"/>
        <v>16.529495073980069</v>
      </c>
      <c r="G61">
        <f t="shared" si="2"/>
        <v>1155</v>
      </c>
      <c r="H61" s="2">
        <f t="shared" si="3"/>
        <v>16.529495073980069</v>
      </c>
    </row>
    <row r="62" spans="1:8" x14ac:dyDescent="0.2">
      <c r="A62">
        <v>61</v>
      </c>
      <c r="B62">
        <v>15</v>
      </c>
      <c r="C62">
        <v>426</v>
      </c>
      <c r="D62">
        <v>27</v>
      </c>
      <c r="E62">
        <f t="shared" si="0"/>
        <v>791</v>
      </c>
      <c r="F62" s="2">
        <f t="shared" si="1"/>
        <v>16.529495073980069</v>
      </c>
      <c r="G62">
        <f t="shared" si="2"/>
        <v>1156</v>
      </c>
      <c r="H62" s="2">
        <f t="shared" si="3"/>
        <v>16.529495073980069</v>
      </c>
    </row>
    <row r="63" spans="1:8" x14ac:dyDescent="0.2">
      <c r="A63">
        <v>62</v>
      </c>
      <c r="B63">
        <v>41</v>
      </c>
      <c r="C63">
        <v>427</v>
      </c>
      <c r="D63">
        <v>19</v>
      </c>
      <c r="E63">
        <f t="shared" si="0"/>
        <v>792</v>
      </c>
      <c r="F63" s="2">
        <f t="shared" si="1"/>
        <v>16.529495073980069</v>
      </c>
      <c r="G63">
        <f t="shared" si="2"/>
        <v>1157</v>
      </c>
      <c r="H63" s="2">
        <f t="shared" si="3"/>
        <v>16.529495073980069</v>
      </c>
    </row>
    <row r="64" spans="1:8" x14ac:dyDescent="0.2">
      <c r="A64">
        <v>63</v>
      </c>
      <c r="B64">
        <v>30</v>
      </c>
      <c r="C64">
        <v>428</v>
      </c>
      <c r="D64">
        <v>47</v>
      </c>
      <c r="E64">
        <f t="shared" si="0"/>
        <v>793</v>
      </c>
      <c r="F64" s="2">
        <f t="shared" si="1"/>
        <v>16.529495073980069</v>
      </c>
      <c r="G64">
        <f t="shared" si="2"/>
        <v>1158</v>
      </c>
      <c r="H64" s="2">
        <f t="shared" si="3"/>
        <v>16.529495073980069</v>
      </c>
    </row>
    <row r="65" spans="1:8" x14ac:dyDescent="0.2">
      <c r="A65">
        <v>64</v>
      </c>
      <c r="B65">
        <v>23</v>
      </c>
      <c r="C65">
        <v>429</v>
      </c>
      <c r="D65">
        <v>15</v>
      </c>
      <c r="E65">
        <f t="shared" si="0"/>
        <v>794</v>
      </c>
      <c r="F65" s="2">
        <f t="shared" si="1"/>
        <v>16.529495073980069</v>
      </c>
      <c r="G65">
        <f t="shared" si="2"/>
        <v>1159</v>
      </c>
      <c r="H65" s="2">
        <f t="shared" si="3"/>
        <v>16.529495073980069</v>
      </c>
    </row>
    <row r="66" spans="1:8" x14ac:dyDescent="0.2">
      <c r="A66">
        <v>65</v>
      </c>
      <c r="B66">
        <v>17</v>
      </c>
      <c r="C66">
        <v>430</v>
      </c>
      <c r="D66">
        <v>5</v>
      </c>
      <c r="E66">
        <f t="shared" si="0"/>
        <v>795</v>
      </c>
      <c r="F66" s="2">
        <f t="shared" si="1"/>
        <v>16.529495073980069</v>
      </c>
      <c r="G66">
        <f t="shared" si="2"/>
        <v>1160</v>
      </c>
      <c r="H66" s="2">
        <f t="shared" si="3"/>
        <v>16.529495073980069</v>
      </c>
    </row>
    <row r="67" spans="1:8" x14ac:dyDescent="0.2">
      <c r="A67">
        <v>66</v>
      </c>
      <c r="B67">
        <v>28</v>
      </c>
      <c r="C67">
        <v>431</v>
      </c>
      <c r="D67">
        <v>17</v>
      </c>
      <c r="E67">
        <f t="shared" ref="E67:E130" si="9">A67+730</f>
        <v>796</v>
      </c>
      <c r="F67" s="2">
        <f t="shared" ref="F67:F74" si="10">$P$18</f>
        <v>16.529495073980069</v>
      </c>
      <c r="G67">
        <f t="shared" ref="G67:G130" si="11">C67+730</f>
        <v>1161</v>
      </c>
      <c r="H67" s="2">
        <f t="shared" ref="H67:H130" si="12">F67</f>
        <v>16.529495073980069</v>
      </c>
    </row>
    <row r="68" spans="1:8" x14ac:dyDescent="0.2">
      <c r="A68">
        <v>67</v>
      </c>
      <c r="B68">
        <v>33</v>
      </c>
      <c r="C68">
        <v>432</v>
      </c>
      <c r="D68">
        <v>39</v>
      </c>
      <c r="E68">
        <f t="shared" si="9"/>
        <v>797</v>
      </c>
      <c r="F68" s="2">
        <f t="shared" si="10"/>
        <v>16.529495073980069</v>
      </c>
      <c r="G68">
        <f t="shared" si="11"/>
        <v>1162</v>
      </c>
      <c r="H68" s="2">
        <f t="shared" si="12"/>
        <v>16.529495073980069</v>
      </c>
    </row>
    <row r="69" spans="1:8" x14ac:dyDescent="0.2">
      <c r="A69">
        <v>68</v>
      </c>
      <c r="B69">
        <v>28</v>
      </c>
      <c r="C69">
        <v>433</v>
      </c>
      <c r="D69">
        <v>16</v>
      </c>
      <c r="E69">
        <f t="shared" si="9"/>
        <v>798</v>
      </c>
      <c r="F69" s="2">
        <f t="shared" si="10"/>
        <v>16.529495073980069</v>
      </c>
      <c r="G69">
        <f t="shared" si="11"/>
        <v>1163</v>
      </c>
      <c r="H69" s="2">
        <f t="shared" si="12"/>
        <v>16.529495073980069</v>
      </c>
    </row>
    <row r="70" spans="1:8" x14ac:dyDescent="0.2">
      <c r="A70">
        <v>69</v>
      </c>
      <c r="B70">
        <v>17</v>
      </c>
      <c r="C70">
        <v>434</v>
      </c>
      <c r="D70">
        <v>43</v>
      </c>
      <c r="E70">
        <f t="shared" si="9"/>
        <v>799</v>
      </c>
      <c r="F70" s="2">
        <f t="shared" si="10"/>
        <v>16.529495073980069</v>
      </c>
      <c r="G70">
        <f t="shared" si="11"/>
        <v>1164</v>
      </c>
      <c r="H70" s="2">
        <f t="shared" si="12"/>
        <v>16.529495073980069</v>
      </c>
    </row>
    <row r="71" spans="1:8" x14ac:dyDescent="0.2">
      <c r="A71">
        <v>70</v>
      </c>
      <c r="B71">
        <v>55</v>
      </c>
      <c r="C71">
        <v>435</v>
      </c>
      <c r="D71">
        <v>19</v>
      </c>
      <c r="E71">
        <f t="shared" si="9"/>
        <v>800</v>
      </c>
      <c r="F71" s="2">
        <f t="shared" si="10"/>
        <v>16.529495073980069</v>
      </c>
      <c r="G71">
        <f t="shared" si="11"/>
        <v>1165</v>
      </c>
      <c r="H71" s="2">
        <f t="shared" si="12"/>
        <v>16.529495073980069</v>
      </c>
    </row>
    <row r="72" spans="1:8" x14ac:dyDescent="0.2">
      <c r="A72">
        <v>71</v>
      </c>
      <c r="B72">
        <v>15</v>
      </c>
      <c r="C72">
        <v>436</v>
      </c>
      <c r="D72">
        <v>51</v>
      </c>
      <c r="E72">
        <f t="shared" si="9"/>
        <v>801</v>
      </c>
      <c r="F72" s="2">
        <f t="shared" si="10"/>
        <v>16.529495073980069</v>
      </c>
      <c r="G72">
        <f t="shared" si="11"/>
        <v>1166</v>
      </c>
      <c r="H72" s="2">
        <f t="shared" si="12"/>
        <v>16.529495073980069</v>
      </c>
    </row>
    <row r="73" spans="1:8" x14ac:dyDescent="0.2">
      <c r="A73">
        <v>72</v>
      </c>
      <c r="B73">
        <v>35</v>
      </c>
      <c r="C73">
        <v>437</v>
      </c>
      <c r="D73">
        <v>27</v>
      </c>
      <c r="E73">
        <f t="shared" si="9"/>
        <v>802</v>
      </c>
      <c r="F73" s="2">
        <f t="shared" si="10"/>
        <v>16.529495073980069</v>
      </c>
      <c r="G73">
        <f t="shared" si="11"/>
        <v>1167</v>
      </c>
      <c r="H73" s="2">
        <f t="shared" si="12"/>
        <v>16.529495073980069</v>
      </c>
    </row>
    <row r="74" spans="1:8" x14ac:dyDescent="0.2">
      <c r="A74">
        <v>73</v>
      </c>
      <c r="B74">
        <v>50</v>
      </c>
      <c r="C74">
        <v>438</v>
      </c>
      <c r="D74">
        <v>28</v>
      </c>
      <c r="E74">
        <f t="shared" si="9"/>
        <v>803</v>
      </c>
      <c r="F74" s="2">
        <f t="shared" si="10"/>
        <v>16.529495073980069</v>
      </c>
      <c r="G74">
        <f t="shared" si="11"/>
        <v>1168</v>
      </c>
      <c r="H74" s="2">
        <f t="shared" si="12"/>
        <v>16.529495073980069</v>
      </c>
    </row>
    <row r="75" spans="1:8" x14ac:dyDescent="0.2">
      <c r="A75">
        <v>74</v>
      </c>
      <c r="B75">
        <v>39</v>
      </c>
      <c r="C75">
        <v>439</v>
      </c>
      <c r="D75">
        <v>48</v>
      </c>
      <c r="E75">
        <f t="shared" si="9"/>
        <v>804</v>
      </c>
      <c r="F75" s="2">
        <f>$P$19</f>
        <v>46.092250657496905</v>
      </c>
      <c r="G75">
        <f t="shared" si="11"/>
        <v>1169</v>
      </c>
      <c r="H75" s="2">
        <f t="shared" si="12"/>
        <v>46.092250657496905</v>
      </c>
    </row>
    <row r="76" spans="1:8" x14ac:dyDescent="0.2">
      <c r="A76">
        <v>75</v>
      </c>
      <c r="B76">
        <v>50</v>
      </c>
      <c r="C76">
        <v>440</v>
      </c>
      <c r="D76">
        <v>14</v>
      </c>
      <c r="E76">
        <f t="shared" si="9"/>
        <v>805</v>
      </c>
      <c r="F76" s="2">
        <f t="shared" ref="F76:F139" si="13">$P$19</f>
        <v>46.092250657496905</v>
      </c>
      <c r="G76">
        <f t="shared" si="11"/>
        <v>1170</v>
      </c>
      <c r="H76" s="2">
        <f t="shared" si="12"/>
        <v>46.092250657496905</v>
      </c>
    </row>
    <row r="77" spans="1:8" x14ac:dyDescent="0.2">
      <c r="A77">
        <v>76</v>
      </c>
      <c r="B77">
        <v>35</v>
      </c>
      <c r="C77">
        <v>441</v>
      </c>
      <c r="D77">
        <v>26</v>
      </c>
      <c r="E77">
        <f t="shared" si="9"/>
        <v>806</v>
      </c>
      <c r="F77" s="2">
        <f t="shared" si="13"/>
        <v>46.092250657496905</v>
      </c>
      <c r="G77">
        <f t="shared" si="11"/>
        <v>1171</v>
      </c>
      <c r="H77" s="2">
        <f t="shared" si="12"/>
        <v>46.092250657496905</v>
      </c>
    </row>
    <row r="78" spans="1:8" x14ac:dyDescent="0.2">
      <c r="A78">
        <v>77</v>
      </c>
      <c r="B78">
        <v>45</v>
      </c>
      <c r="C78">
        <v>442</v>
      </c>
      <c r="D78">
        <v>46</v>
      </c>
      <c r="E78">
        <f t="shared" si="9"/>
        <v>807</v>
      </c>
      <c r="F78" s="2">
        <f t="shared" si="13"/>
        <v>46.092250657496905</v>
      </c>
      <c r="G78">
        <f t="shared" si="11"/>
        <v>1172</v>
      </c>
      <c r="H78" s="2">
        <f t="shared" si="12"/>
        <v>46.092250657496905</v>
      </c>
    </row>
    <row r="79" spans="1:8" x14ac:dyDescent="0.2">
      <c r="A79">
        <v>78</v>
      </c>
      <c r="B79">
        <v>69</v>
      </c>
      <c r="C79">
        <v>443</v>
      </c>
      <c r="D79">
        <v>38</v>
      </c>
      <c r="E79">
        <f t="shared" si="9"/>
        <v>808</v>
      </c>
      <c r="F79" s="2">
        <f t="shared" si="13"/>
        <v>46.092250657496905</v>
      </c>
      <c r="G79">
        <f t="shared" si="11"/>
        <v>1173</v>
      </c>
      <c r="H79" s="2">
        <f t="shared" si="12"/>
        <v>46.092250657496905</v>
      </c>
    </row>
    <row r="80" spans="1:8" x14ac:dyDescent="0.2">
      <c r="A80">
        <v>79</v>
      </c>
      <c r="B80">
        <v>38</v>
      </c>
      <c r="C80">
        <v>444</v>
      </c>
      <c r="D80">
        <v>13</v>
      </c>
      <c r="E80">
        <f t="shared" si="9"/>
        <v>809</v>
      </c>
      <c r="F80" s="2">
        <f t="shared" si="13"/>
        <v>46.092250657496905</v>
      </c>
      <c r="G80">
        <f t="shared" si="11"/>
        <v>1174</v>
      </c>
      <c r="H80" s="2">
        <f t="shared" si="12"/>
        <v>46.092250657496905</v>
      </c>
    </row>
    <row r="81" spans="1:8" x14ac:dyDescent="0.2">
      <c r="A81">
        <v>80</v>
      </c>
      <c r="B81">
        <v>23</v>
      </c>
      <c r="C81">
        <v>445</v>
      </c>
      <c r="D81">
        <v>19</v>
      </c>
      <c r="E81">
        <f t="shared" si="9"/>
        <v>810</v>
      </c>
      <c r="F81" s="2">
        <f t="shared" si="13"/>
        <v>46.092250657496905</v>
      </c>
      <c r="G81">
        <f t="shared" si="11"/>
        <v>1175</v>
      </c>
      <c r="H81" s="2">
        <f t="shared" si="12"/>
        <v>46.092250657496905</v>
      </c>
    </row>
    <row r="82" spans="1:8" x14ac:dyDescent="0.2">
      <c r="A82">
        <v>81</v>
      </c>
      <c r="B82">
        <v>19</v>
      </c>
      <c r="C82">
        <v>446</v>
      </c>
      <c r="D82">
        <v>48</v>
      </c>
      <c r="E82">
        <f t="shared" si="9"/>
        <v>811</v>
      </c>
      <c r="F82" s="2">
        <f t="shared" si="13"/>
        <v>46.092250657496905</v>
      </c>
      <c r="G82">
        <f t="shared" si="11"/>
        <v>1176</v>
      </c>
      <c r="H82" s="2">
        <f t="shared" si="12"/>
        <v>46.092250657496905</v>
      </c>
    </row>
    <row r="83" spans="1:8" x14ac:dyDescent="0.2">
      <c r="A83">
        <v>82</v>
      </c>
      <c r="B83">
        <v>42</v>
      </c>
      <c r="C83">
        <v>447</v>
      </c>
      <c r="D83">
        <v>37</v>
      </c>
      <c r="E83">
        <f t="shared" si="9"/>
        <v>812</v>
      </c>
      <c r="F83" s="2">
        <f t="shared" si="13"/>
        <v>46.092250657496905</v>
      </c>
      <c r="G83">
        <f t="shared" si="11"/>
        <v>1177</v>
      </c>
      <c r="H83" s="2">
        <f t="shared" si="12"/>
        <v>46.092250657496905</v>
      </c>
    </row>
    <row r="84" spans="1:8" x14ac:dyDescent="0.2">
      <c r="A84">
        <v>83</v>
      </c>
      <c r="B84">
        <v>39</v>
      </c>
      <c r="C84">
        <v>448</v>
      </c>
      <c r="D84">
        <v>49</v>
      </c>
      <c r="E84">
        <f t="shared" si="9"/>
        <v>813</v>
      </c>
      <c r="F84" s="2">
        <f t="shared" si="13"/>
        <v>46.092250657496905</v>
      </c>
      <c r="G84">
        <f t="shared" si="11"/>
        <v>1178</v>
      </c>
      <c r="H84" s="2">
        <f t="shared" si="12"/>
        <v>46.092250657496905</v>
      </c>
    </row>
    <row r="85" spans="1:8" x14ac:dyDescent="0.2">
      <c r="A85">
        <v>84</v>
      </c>
      <c r="B85">
        <v>27</v>
      </c>
      <c r="C85">
        <v>449</v>
      </c>
      <c r="D85">
        <v>40</v>
      </c>
      <c r="E85">
        <f t="shared" si="9"/>
        <v>814</v>
      </c>
      <c r="F85" s="2">
        <f t="shared" si="13"/>
        <v>46.092250657496905</v>
      </c>
      <c r="G85">
        <f t="shared" si="11"/>
        <v>1179</v>
      </c>
      <c r="H85" s="2">
        <f t="shared" si="12"/>
        <v>46.092250657496905</v>
      </c>
    </row>
    <row r="86" spans="1:8" x14ac:dyDescent="0.2">
      <c r="A86">
        <v>85</v>
      </c>
      <c r="B86">
        <v>19</v>
      </c>
      <c r="C86">
        <v>450</v>
      </c>
      <c r="D86">
        <v>49</v>
      </c>
      <c r="E86">
        <f t="shared" si="9"/>
        <v>815</v>
      </c>
      <c r="F86" s="2">
        <f t="shared" si="13"/>
        <v>46.092250657496905</v>
      </c>
      <c r="G86">
        <f t="shared" si="11"/>
        <v>1180</v>
      </c>
      <c r="H86" s="2">
        <f t="shared" si="12"/>
        <v>46.092250657496905</v>
      </c>
    </row>
    <row r="87" spans="1:8" x14ac:dyDescent="0.2">
      <c r="A87">
        <v>86</v>
      </c>
      <c r="B87">
        <v>22</v>
      </c>
      <c r="C87">
        <v>451</v>
      </c>
      <c r="D87">
        <v>37</v>
      </c>
      <c r="E87">
        <f t="shared" si="9"/>
        <v>816</v>
      </c>
      <c r="F87" s="2">
        <f t="shared" si="13"/>
        <v>46.092250657496905</v>
      </c>
      <c r="G87">
        <f t="shared" si="11"/>
        <v>1181</v>
      </c>
      <c r="H87" s="2">
        <f t="shared" si="12"/>
        <v>46.092250657496905</v>
      </c>
    </row>
    <row r="88" spans="1:8" x14ac:dyDescent="0.2">
      <c r="A88">
        <v>87</v>
      </c>
      <c r="B88">
        <v>32</v>
      </c>
      <c r="C88">
        <v>452</v>
      </c>
      <c r="D88">
        <v>38</v>
      </c>
      <c r="E88">
        <f t="shared" si="9"/>
        <v>817</v>
      </c>
      <c r="F88" s="2">
        <f t="shared" si="13"/>
        <v>46.092250657496905</v>
      </c>
      <c r="G88">
        <f t="shared" si="11"/>
        <v>1182</v>
      </c>
      <c r="H88" s="2">
        <f t="shared" si="12"/>
        <v>46.092250657496905</v>
      </c>
    </row>
    <row r="89" spans="1:8" x14ac:dyDescent="0.2">
      <c r="A89">
        <v>88</v>
      </c>
      <c r="B89">
        <v>27</v>
      </c>
      <c r="C89">
        <v>453</v>
      </c>
      <c r="D89">
        <v>46</v>
      </c>
      <c r="E89">
        <f t="shared" si="9"/>
        <v>818</v>
      </c>
      <c r="F89" s="2">
        <f t="shared" si="13"/>
        <v>46.092250657496905</v>
      </c>
      <c r="G89">
        <f t="shared" si="11"/>
        <v>1183</v>
      </c>
      <c r="H89" s="2">
        <f t="shared" si="12"/>
        <v>46.092250657496905</v>
      </c>
    </row>
    <row r="90" spans="1:8" x14ac:dyDescent="0.2">
      <c r="A90">
        <v>89</v>
      </c>
      <c r="B90">
        <v>36</v>
      </c>
      <c r="C90">
        <v>454</v>
      </c>
      <c r="D90">
        <v>31</v>
      </c>
      <c r="E90">
        <f t="shared" si="9"/>
        <v>819</v>
      </c>
      <c r="F90" s="2">
        <f t="shared" si="13"/>
        <v>46.092250657496905</v>
      </c>
      <c r="G90">
        <f t="shared" si="11"/>
        <v>1184</v>
      </c>
      <c r="H90" s="2">
        <f t="shared" si="12"/>
        <v>46.092250657496905</v>
      </c>
    </row>
    <row r="91" spans="1:8" x14ac:dyDescent="0.2">
      <c r="A91">
        <v>90</v>
      </c>
      <c r="B91">
        <v>50</v>
      </c>
      <c r="C91">
        <v>455</v>
      </c>
      <c r="D91">
        <v>41</v>
      </c>
      <c r="E91">
        <f t="shared" si="9"/>
        <v>820</v>
      </c>
      <c r="F91" s="2">
        <f t="shared" si="13"/>
        <v>46.092250657496905</v>
      </c>
      <c r="G91">
        <f t="shared" si="11"/>
        <v>1185</v>
      </c>
      <c r="H91" s="2">
        <f t="shared" si="12"/>
        <v>46.092250657496905</v>
      </c>
    </row>
    <row r="92" spans="1:8" x14ac:dyDescent="0.2">
      <c r="A92">
        <v>91</v>
      </c>
      <c r="B92">
        <v>27</v>
      </c>
      <c r="C92">
        <v>456</v>
      </c>
      <c r="D92">
        <v>16</v>
      </c>
      <c r="E92">
        <f t="shared" si="9"/>
        <v>821</v>
      </c>
      <c r="F92" s="2">
        <f t="shared" si="13"/>
        <v>46.092250657496905</v>
      </c>
      <c r="G92">
        <f t="shared" si="11"/>
        <v>1186</v>
      </c>
      <c r="H92" s="2">
        <f t="shared" si="12"/>
        <v>46.092250657496905</v>
      </c>
    </row>
    <row r="93" spans="1:8" x14ac:dyDescent="0.2">
      <c r="A93">
        <v>92</v>
      </c>
      <c r="B93">
        <v>56</v>
      </c>
      <c r="C93">
        <v>457</v>
      </c>
      <c r="D93">
        <v>23</v>
      </c>
      <c r="E93">
        <f t="shared" si="9"/>
        <v>822</v>
      </c>
      <c r="F93" s="2">
        <f t="shared" si="13"/>
        <v>46.092250657496905</v>
      </c>
      <c r="G93">
        <f t="shared" si="11"/>
        <v>1187</v>
      </c>
      <c r="H93" s="2">
        <f t="shared" si="12"/>
        <v>46.092250657496905</v>
      </c>
    </row>
    <row r="94" spans="1:8" x14ac:dyDescent="0.2">
      <c r="A94">
        <v>93</v>
      </c>
      <c r="B94">
        <v>43</v>
      </c>
      <c r="C94">
        <v>458</v>
      </c>
      <c r="D94">
        <v>26</v>
      </c>
      <c r="E94">
        <f t="shared" si="9"/>
        <v>823</v>
      </c>
      <c r="F94" s="2">
        <f t="shared" si="13"/>
        <v>46.092250657496905</v>
      </c>
      <c r="G94">
        <f t="shared" si="11"/>
        <v>1188</v>
      </c>
      <c r="H94" s="2">
        <f t="shared" si="12"/>
        <v>46.092250657496905</v>
      </c>
    </row>
    <row r="95" spans="1:8" x14ac:dyDescent="0.2">
      <c r="A95">
        <v>94</v>
      </c>
      <c r="B95">
        <v>37</v>
      </c>
      <c r="C95">
        <v>459</v>
      </c>
      <c r="D95">
        <v>40</v>
      </c>
      <c r="E95">
        <f t="shared" si="9"/>
        <v>824</v>
      </c>
      <c r="F95" s="2">
        <f t="shared" si="13"/>
        <v>46.092250657496905</v>
      </c>
      <c r="G95">
        <f t="shared" si="11"/>
        <v>1189</v>
      </c>
      <c r="H95" s="2">
        <f t="shared" si="12"/>
        <v>46.092250657496905</v>
      </c>
    </row>
    <row r="96" spans="1:8" x14ac:dyDescent="0.2">
      <c r="A96">
        <v>95</v>
      </c>
      <c r="B96">
        <v>39</v>
      </c>
      <c r="C96">
        <v>460</v>
      </c>
      <c r="D96">
        <v>47</v>
      </c>
      <c r="E96">
        <f t="shared" si="9"/>
        <v>825</v>
      </c>
      <c r="F96" s="2">
        <f t="shared" si="13"/>
        <v>46.092250657496905</v>
      </c>
      <c r="G96">
        <f t="shared" si="11"/>
        <v>1190</v>
      </c>
      <c r="H96" s="2">
        <f t="shared" si="12"/>
        <v>46.092250657496905</v>
      </c>
    </row>
    <row r="97" spans="1:8" x14ac:dyDescent="0.2">
      <c r="A97">
        <v>96</v>
      </c>
      <c r="B97">
        <v>56</v>
      </c>
      <c r="C97">
        <v>461</v>
      </c>
      <c r="D97">
        <v>25</v>
      </c>
      <c r="E97">
        <f t="shared" si="9"/>
        <v>826</v>
      </c>
      <c r="F97" s="2">
        <f t="shared" si="13"/>
        <v>46.092250657496905</v>
      </c>
      <c r="G97">
        <f t="shared" si="11"/>
        <v>1191</v>
      </c>
      <c r="H97" s="2">
        <f t="shared" si="12"/>
        <v>46.092250657496905</v>
      </c>
    </row>
    <row r="98" spans="1:8" x14ac:dyDescent="0.2">
      <c r="A98">
        <v>97</v>
      </c>
      <c r="B98">
        <v>38</v>
      </c>
      <c r="C98">
        <v>462</v>
      </c>
      <c r="D98">
        <v>26</v>
      </c>
      <c r="E98">
        <f t="shared" si="9"/>
        <v>827</v>
      </c>
      <c r="F98" s="2">
        <f t="shared" si="13"/>
        <v>46.092250657496905</v>
      </c>
      <c r="G98">
        <f t="shared" si="11"/>
        <v>1192</v>
      </c>
      <c r="H98" s="2">
        <f t="shared" si="12"/>
        <v>46.092250657496905</v>
      </c>
    </row>
    <row r="99" spans="1:8" x14ac:dyDescent="0.2">
      <c r="A99">
        <v>98</v>
      </c>
      <c r="B99">
        <v>32</v>
      </c>
      <c r="C99">
        <v>463</v>
      </c>
      <c r="D99">
        <v>51</v>
      </c>
      <c r="E99">
        <f t="shared" si="9"/>
        <v>828</v>
      </c>
      <c r="F99" s="2">
        <f t="shared" si="13"/>
        <v>46.092250657496905</v>
      </c>
      <c r="G99">
        <f t="shared" si="11"/>
        <v>1193</v>
      </c>
      <c r="H99" s="2">
        <f t="shared" si="12"/>
        <v>46.092250657496905</v>
      </c>
    </row>
    <row r="100" spans="1:8" x14ac:dyDescent="0.2">
      <c r="A100">
        <v>99</v>
      </c>
      <c r="B100">
        <v>34</v>
      </c>
      <c r="C100">
        <v>464</v>
      </c>
      <c r="D100">
        <v>28</v>
      </c>
      <c r="E100">
        <f t="shared" si="9"/>
        <v>829</v>
      </c>
      <c r="F100" s="2">
        <f t="shared" si="13"/>
        <v>46.092250657496905</v>
      </c>
      <c r="G100">
        <f t="shared" si="11"/>
        <v>1194</v>
      </c>
      <c r="H100" s="2">
        <f t="shared" si="12"/>
        <v>46.092250657496905</v>
      </c>
    </row>
    <row r="101" spans="1:8" x14ac:dyDescent="0.2">
      <c r="A101">
        <v>100</v>
      </c>
      <c r="B101">
        <v>40</v>
      </c>
      <c r="C101">
        <v>465</v>
      </c>
      <c r="D101">
        <v>46</v>
      </c>
      <c r="E101">
        <f t="shared" si="9"/>
        <v>830</v>
      </c>
      <c r="F101" s="2">
        <f t="shared" si="13"/>
        <v>46.092250657496905</v>
      </c>
      <c r="G101">
        <f t="shared" si="11"/>
        <v>1195</v>
      </c>
      <c r="H101" s="2">
        <f t="shared" si="12"/>
        <v>46.092250657496905</v>
      </c>
    </row>
    <row r="102" spans="1:8" x14ac:dyDescent="0.2">
      <c r="A102">
        <v>101</v>
      </c>
      <c r="B102">
        <v>30</v>
      </c>
      <c r="C102">
        <v>466</v>
      </c>
      <c r="D102">
        <v>45</v>
      </c>
      <c r="E102">
        <f t="shared" si="9"/>
        <v>831</v>
      </c>
      <c r="F102" s="2">
        <f t="shared" si="13"/>
        <v>46.092250657496905</v>
      </c>
      <c r="G102">
        <f t="shared" si="11"/>
        <v>1196</v>
      </c>
      <c r="H102" s="2">
        <f t="shared" si="12"/>
        <v>46.092250657496905</v>
      </c>
    </row>
    <row r="103" spans="1:8" x14ac:dyDescent="0.2">
      <c r="A103">
        <v>102</v>
      </c>
      <c r="B103">
        <v>42</v>
      </c>
      <c r="C103">
        <v>467</v>
      </c>
      <c r="D103">
        <v>43</v>
      </c>
      <c r="E103">
        <f t="shared" si="9"/>
        <v>832</v>
      </c>
      <c r="F103" s="2">
        <f t="shared" si="13"/>
        <v>46.092250657496905</v>
      </c>
      <c r="G103">
        <f t="shared" si="11"/>
        <v>1197</v>
      </c>
      <c r="H103" s="2">
        <f t="shared" si="12"/>
        <v>46.092250657496905</v>
      </c>
    </row>
    <row r="104" spans="1:8" x14ac:dyDescent="0.2">
      <c r="A104">
        <v>103</v>
      </c>
      <c r="B104">
        <v>31</v>
      </c>
      <c r="C104">
        <v>468</v>
      </c>
      <c r="D104">
        <v>26</v>
      </c>
      <c r="E104">
        <f t="shared" si="9"/>
        <v>833</v>
      </c>
      <c r="F104" s="2">
        <f t="shared" si="13"/>
        <v>46.092250657496905</v>
      </c>
      <c r="G104">
        <f t="shared" si="11"/>
        <v>1198</v>
      </c>
      <c r="H104" s="2">
        <f t="shared" si="12"/>
        <v>46.092250657496905</v>
      </c>
    </row>
    <row r="105" spans="1:8" x14ac:dyDescent="0.2">
      <c r="A105">
        <v>104</v>
      </c>
      <c r="B105">
        <v>56</v>
      </c>
      <c r="C105">
        <v>469</v>
      </c>
      <c r="D105">
        <v>50</v>
      </c>
      <c r="E105">
        <f t="shared" si="9"/>
        <v>834</v>
      </c>
      <c r="F105" s="2">
        <f t="shared" si="13"/>
        <v>46.092250657496905</v>
      </c>
      <c r="G105">
        <f t="shared" si="11"/>
        <v>1199</v>
      </c>
      <c r="H105" s="2">
        <f t="shared" si="12"/>
        <v>46.092250657496905</v>
      </c>
    </row>
    <row r="106" spans="1:8" x14ac:dyDescent="0.2">
      <c r="A106">
        <v>105</v>
      </c>
      <c r="B106">
        <v>26</v>
      </c>
      <c r="C106">
        <v>470</v>
      </c>
      <c r="D106">
        <v>26</v>
      </c>
      <c r="E106">
        <f t="shared" si="9"/>
        <v>835</v>
      </c>
      <c r="F106" s="2">
        <f t="shared" si="13"/>
        <v>46.092250657496905</v>
      </c>
      <c r="G106">
        <f t="shared" si="11"/>
        <v>1200</v>
      </c>
      <c r="H106" s="2">
        <f t="shared" si="12"/>
        <v>46.092250657496905</v>
      </c>
    </row>
    <row r="107" spans="1:8" x14ac:dyDescent="0.2">
      <c r="A107">
        <v>106</v>
      </c>
      <c r="B107">
        <v>42</v>
      </c>
      <c r="C107">
        <v>471</v>
      </c>
      <c r="D107">
        <v>64</v>
      </c>
      <c r="E107">
        <f t="shared" si="9"/>
        <v>836</v>
      </c>
      <c r="F107" s="2">
        <f t="shared" si="13"/>
        <v>46.092250657496905</v>
      </c>
      <c r="G107">
        <f t="shared" si="11"/>
        <v>1201</v>
      </c>
      <c r="H107" s="2">
        <f t="shared" si="12"/>
        <v>46.092250657496905</v>
      </c>
    </row>
    <row r="108" spans="1:8" x14ac:dyDescent="0.2">
      <c r="A108">
        <v>107</v>
      </c>
      <c r="B108">
        <v>59</v>
      </c>
      <c r="C108">
        <v>472</v>
      </c>
      <c r="D108">
        <v>33</v>
      </c>
      <c r="E108">
        <f t="shared" si="9"/>
        <v>837</v>
      </c>
      <c r="F108" s="2">
        <f t="shared" si="13"/>
        <v>46.092250657496905</v>
      </c>
      <c r="G108">
        <f t="shared" si="11"/>
        <v>1202</v>
      </c>
      <c r="H108" s="2">
        <f t="shared" si="12"/>
        <v>46.092250657496905</v>
      </c>
    </row>
    <row r="109" spans="1:8" x14ac:dyDescent="0.2">
      <c r="A109">
        <v>108</v>
      </c>
      <c r="B109">
        <v>37</v>
      </c>
      <c r="C109">
        <v>473</v>
      </c>
      <c r="D109">
        <v>57</v>
      </c>
      <c r="E109">
        <f t="shared" si="9"/>
        <v>838</v>
      </c>
      <c r="F109" s="2">
        <f t="shared" si="13"/>
        <v>46.092250657496905</v>
      </c>
      <c r="G109">
        <f t="shared" si="11"/>
        <v>1203</v>
      </c>
      <c r="H109" s="2">
        <f t="shared" si="12"/>
        <v>46.092250657496905</v>
      </c>
    </row>
    <row r="110" spans="1:8" x14ac:dyDescent="0.2">
      <c r="A110">
        <v>109</v>
      </c>
      <c r="B110">
        <v>50</v>
      </c>
      <c r="C110">
        <v>474</v>
      </c>
      <c r="D110">
        <v>38</v>
      </c>
      <c r="E110">
        <f t="shared" si="9"/>
        <v>839</v>
      </c>
      <c r="F110" s="2">
        <f t="shared" si="13"/>
        <v>46.092250657496905</v>
      </c>
      <c r="G110">
        <f t="shared" si="11"/>
        <v>1204</v>
      </c>
      <c r="H110" s="2">
        <f t="shared" si="12"/>
        <v>46.092250657496905</v>
      </c>
    </row>
    <row r="111" spans="1:8" x14ac:dyDescent="0.2">
      <c r="A111">
        <v>110</v>
      </c>
      <c r="B111">
        <v>51</v>
      </c>
      <c r="C111">
        <v>475</v>
      </c>
      <c r="D111">
        <v>36</v>
      </c>
      <c r="E111">
        <f t="shared" si="9"/>
        <v>840</v>
      </c>
      <c r="F111" s="2">
        <f t="shared" si="13"/>
        <v>46.092250657496905</v>
      </c>
      <c r="G111">
        <f t="shared" si="11"/>
        <v>1205</v>
      </c>
      <c r="H111" s="2">
        <f t="shared" si="12"/>
        <v>46.092250657496905</v>
      </c>
    </row>
    <row r="112" spans="1:8" x14ac:dyDescent="0.2">
      <c r="A112">
        <v>111</v>
      </c>
      <c r="B112">
        <v>63</v>
      </c>
      <c r="C112">
        <v>476</v>
      </c>
      <c r="D112">
        <v>40</v>
      </c>
      <c r="E112">
        <f t="shared" si="9"/>
        <v>841</v>
      </c>
      <c r="F112" s="2">
        <f t="shared" si="13"/>
        <v>46.092250657496905</v>
      </c>
      <c r="G112">
        <f t="shared" si="11"/>
        <v>1206</v>
      </c>
      <c r="H112" s="2">
        <f t="shared" si="12"/>
        <v>46.092250657496905</v>
      </c>
    </row>
    <row r="113" spans="1:8" x14ac:dyDescent="0.2">
      <c r="A113">
        <v>112</v>
      </c>
      <c r="B113">
        <v>53</v>
      </c>
      <c r="C113">
        <v>477</v>
      </c>
      <c r="D113">
        <v>36</v>
      </c>
      <c r="E113">
        <f t="shared" si="9"/>
        <v>842</v>
      </c>
      <c r="F113" s="2">
        <f t="shared" si="13"/>
        <v>46.092250657496905</v>
      </c>
      <c r="G113">
        <f t="shared" si="11"/>
        <v>1207</v>
      </c>
      <c r="H113" s="2">
        <f t="shared" si="12"/>
        <v>46.092250657496905</v>
      </c>
    </row>
    <row r="114" spans="1:8" x14ac:dyDescent="0.2">
      <c r="A114">
        <v>113</v>
      </c>
      <c r="B114">
        <v>24</v>
      </c>
      <c r="C114">
        <v>478</v>
      </c>
      <c r="D114">
        <v>79</v>
      </c>
      <c r="E114">
        <f t="shared" si="9"/>
        <v>843</v>
      </c>
      <c r="F114" s="2">
        <f t="shared" si="13"/>
        <v>46.092250657496905</v>
      </c>
      <c r="G114">
        <f t="shared" si="11"/>
        <v>1208</v>
      </c>
      <c r="H114" s="2">
        <f t="shared" si="12"/>
        <v>46.092250657496905</v>
      </c>
    </row>
    <row r="115" spans="1:8" x14ac:dyDescent="0.2">
      <c r="A115">
        <v>114</v>
      </c>
      <c r="B115">
        <v>61</v>
      </c>
      <c r="C115">
        <v>479</v>
      </c>
      <c r="D115">
        <v>43</v>
      </c>
      <c r="E115">
        <f t="shared" si="9"/>
        <v>844</v>
      </c>
      <c r="F115" s="2">
        <f t="shared" si="13"/>
        <v>46.092250657496905</v>
      </c>
      <c r="G115">
        <f t="shared" si="11"/>
        <v>1209</v>
      </c>
      <c r="H115" s="2">
        <f t="shared" si="12"/>
        <v>46.092250657496905</v>
      </c>
    </row>
    <row r="116" spans="1:8" x14ac:dyDescent="0.2">
      <c r="A116">
        <v>115</v>
      </c>
      <c r="B116">
        <v>44</v>
      </c>
      <c r="C116">
        <v>480</v>
      </c>
      <c r="D116">
        <v>47</v>
      </c>
      <c r="E116">
        <f t="shared" si="9"/>
        <v>845</v>
      </c>
      <c r="F116" s="2">
        <f t="shared" si="13"/>
        <v>46.092250657496905</v>
      </c>
      <c r="G116">
        <f t="shared" si="11"/>
        <v>1210</v>
      </c>
      <c r="H116" s="2">
        <f t="shared" si="12"/>
        <v>46.092250657496905</v>
      </c>
    </row>
    <row r="117" spans="1:8" x14ac:dyDescent="0.2">
      <c r="A117">
        <v>116</v>
      </c>
      <c r="B117">
        <v>58</v>
      </c>
      <c r="C117">
        <v>481</v>
      </c>
      <c r="D117">
        <v>57</v>
      </c>
      <c r="E117">
        <f t="shared" si="9"/>
        <v>846</v>
      </c>
      <c r="F117" s="2">
        <f t="shared" si="13"/>
        <v>46.092250657496905</v>
      </c>
      <c r="G117">
        <f t="shared" si="11"/>
        <v>1211</v>
      </c>
      <c r="H117" s="2">
        <f t="shared" si="12"/>
        <v>46.092250657496905</v>
      </c>
    </row>
    <row r="118" spans="1:8" x14ac:dyDescent="0.2">
      <c r="A118">
        <v>117</v>
      </c>
      <c r="B118">
        <v>103</v>
      </c>
      <c r="C118">
        <v>482</v>
      </c>
      <c r="D118">
        <v>37</v>
      </c>
      <c r="E118">
        <f t="shared" si="9"/>
        <v>847</v>
      </c>
      <c r="F118" s="2">
        <f t="shared" si="13"/>
        <v>46.092250657496905</v>
      </c>
      <c r="G118">
        <f t="shared" si="11"/>
        <v>1212</v>
      </c>
      <c r="H118" s="2">
        <f t="shared" si="12"/>
        <v>46.092250657496905</v>
      </c>
    </row>
    <row r="119" spans="1:8" x14ac:dyDescent="0.2">
      <c r="A119">
        <v>118</v>
      </c>
      <c r="B119">
        <v>22</v>
      </c>
      <c r="C119">
        <v>483</v>
      </c>
      <c r="D119">
        <v>30</v>
      </c>
      <c r="E119">
        <f t="shared" si="9"/>
        <v>848</v>
      </c>
      <c r="F119" s="2">
        <f t="shared" si="13"/>
        <v>46.092250657496905</v>
      </c>
      <c r="G119">
        <f t="shared" si="11"/>
        <v>1213</v>
      </c>
      <c r="H119" s="2">
        <f t="shared" si="12"/>
        <v>46.092250657496905</v>
      </c>
    </row>
    <row r="120" spans="1:8" x14ac:dyDescent="0.2">
      <c r="A120">
        <v>119</v>
      </c>
      <c r="B120">
        <v>52</v>
      </c>
      <c r="C120">
        <v>484</v>
      </c>
      <c r="D120">
        <v>38</v>
      </c>
      <c r="E120">
        <f t="shared" si="9"/>
        <v>849</v>
      </c>
      <c r="F120" s="2">
        <f t="shared" si="13"/>
        <v>46.092250657496905</v>
      </c>
      <c r="G120">
        <f t="shared" si="11"/>
        <v>1214</v>
      </c>
      <c r="H120" s="2">
        <f t="shared" si="12"/>
        <v>46.092250657496905</v>
      </c>
    </row>
    <row r="121" spans="1:8" x14ac:dyDescent="0.2">
      <c r="A121">
        <v>120</v>
      </c>
      <c r="B121">
        <v>64</v>
      </c>
      <c r="C121">
        <v>485</v>
      </c>
      <c r="D121">
        <v>79</v>
      </c>
      <c r="E121">
        <f t="shared" si="9"/>
        <v>850</v>
      </c>
      <c r="F121" s="2">
        <f t="shared" si="13"/>
        <v>46.092250657496905</v>
      </c>
      <c r="G121">
        <f t="shared" si="11"/>
        <v>1215</v>
      </c>
      <c r="H121" s="2">
        <f t="shared" si="12"/>
        <v>46.092250657496905</v>
      </c>
    </row>
    <row r="122" spans="1:8" x14ac:dyDescent="0.2">
      <c r="A122">
        <v>121</v>
      </c>
      <c r="B122">
        <v>55</v>
      </c>
      <c r="C122">
        <v>486</v>
      </c>
      <c r="D122">
        <v>46</v>
      </c>
      <c r="E122">
        <f t="shared" si="9"/>
        <v>851</v>
      </c>
      <c r="F122" s="2">
        <f t="shared" si="13"/>
        <v>46.092250657496905</v>
      </c>
      <c r="G122">
        <f t="shared" si="11"/>
        <v>1216</v>
      </c>
      <c r="H122" s="2">
        <f t="shared" si="12"/>
        <v>46.092250657496905</v>
      </c>
    </row>
    <row r="123" spans="1:8" x14ac:dyDescent="0.2">
      <c r="A123">
        <v>122</v>
      </c>
      <c r="B123">
        <v>60</v>
      </c>
      <c r="C123">
        <v>487</v>
      </c>
      <c r="D123">
        <v>42</v>
      </c>
      <c r="E123">
        <f t="shared" si="9"/>
        <v>852</v>
      </c>
      <c r="F123" s="2">
        <f t="shared" si="13"/>
        <v>46.092250657496905</v>
      </c>
      <c r="G123">
        <f t="shared" si="11"/>
        <v>1217</v>
      </c>
      <c r="H123" s="2">
        <f t="shared" si="12"/>
        <v>46.092250657496905</v>
      </c>
    </row>
    <row r="124" spans="1:8" x14ac:dyDescent="0.2">
      <c r="A124">
        <v>123</v>
      </c>
      <c r="B124">
        <v>53</v>
      </c>
      <c r="C124">
        <v>488</v>
      </c>
      <c r="D124">
        <v>43</v>
      </c>
      <c r="E124">
        <f t="shared" si="9"/>
        <v>853</v>
      </c>
      <c r="F124" s="2">
        <f t="shared" si="13"/>
        <v>46.092250657496905</v>
      </c>
      <c r="G124">
        <f t="shared" si="11"/>
        <v>1218</v>
      </c>
      <c r="H124" s="2">
        <f t="shared" si="12"/>
        <v>46.092250657496905</v>
      </c>
    </row>
    <row r="125" spans="1:8" x14ac:dyDescent="0.2">
      <c r="A125">
        <v>124</v>
      </c>
      <c r="B125">
        <v>58</v>
      </c>
      <c r="C125">
        <v>489</v>
      </c>
      <c r="D125">
        <v>58</v>
      </c>
      <c r="E125">
        <f t="shared" si="9"/>
        <v>854</v>
      </c>
      <c r="F125" s="2">
        <f t="shared" si="13"/>
        <v>46.092250657496905</v>
      </c>
      <c r="G125">
        <f t="shared" si="11"/>
        <v>1219</v>
      </c>
      <c r="H125" s="2">
        <f t="shared" si="12"/>
        <v>46.092250657496905</v>
      </c>
    </row>
    <row r="126" spans="1:8" x14ac:dyDescent="0.2">
      <c r="A126">
        <v>125</v>
      </c>
      <c r="B126">
        <v>30</v>
      </c>
      <c r="C126">
        <v>490</v>
      </c>
      <c r="D126">
        <v>49</v>
      </c>
      <c r="E126">
        <f t="shared" si="9"/>
        <v>855</v>
      </c>
      <c r="F126" s="2">
        <f t="shared" si="13"/>
        <v>46.092250657496905</v>
      </c>
      <c r="G126">
        <f t="shared" si="11"/>
        <v>1220</v>
      </c>
      <c r="H126" s="2">
        <f t="shared" si="12"/>
        <v>46.092250657496905</v>
      </c>
    </row>
    <row r="127" spans="1:8" x14ac:dyDescent="0.2">
      <c r="A127">
        <v>126</v>
      </c>
      <c r="B127">
        <v>72</v>
      </c>
      <c r="C127">
        <v>491</v>
      </c>
      <c r="D127">
        <v>42</v>
      </c>
      <c r="E127">
        <f t="shared" si="9"/>
        <v>856</v>
      </c>
      <c r="F127" s="2">
        <f t="shared" si="13"/>
        <v>46.092250657496905</v>
      </c>
      <c r="G127">
        <f t="shared" si="11"/>
        <v>1221</v>
      </c>
      <c r="H127" s="2">
        <f t="shared" si="12"/>
        <v>46.092250657496905</v>
      </c>
    </row>
    <row r="128" spans="1:8" x14ac:dyDescent="0.2">
      <c r="A128">
        <v>127</v>
      </c>
      <c r="B128">
        <v>53</v>
      </c>
      <c r="C128">
        <v>492</v>
      </c>
      <c r="D128">
        <v>59</v>
      </c>
      <c r="E128">
        <f t="shared" si="9"/>
        <v>857</v>
      </c>
      <c r="F128" s="2">
        <f t="shared" si="13"/>
        <v>46.092250657496905</v>
      </c>
      <c r="G128">
        <f t="shared" si="11"/>
        <v>1222</v>
      </c>
      <c r="H128" s="2">
        <f t="shared" si="12"/>
        <v>46.092250657496905</v>
      </c>
    </row>
    <row r="129" spans="1:8" x14ac:dyDescent="0.2">
      <c r="A129">
        <v>128</v>
      </c>
      <c r="B129">
        <v>78</v>
      </c>
      <c r="C129">
        <v>493</v>
      </c>
      <c r="D129">
        <v>72</v>
      </c>
      <c r="E129">
        <f t="shared" si="9"/>
        <v>858</v>
      </c>
      <c r="F129" s="2">
        <f t="shared" si="13"/>
        <v>46.092250657496905</v>
      </c>
      <c r="G129">
        <f t="shared" si="11"/>
        <v>1223</v>
      </c>
      <c r="H129" s="2">
        <f t="shared" si="12"/>
        <v>46.092250657496905</v>
      </c>
    </row>
    <row r="130" spans="1:8" x14ac:dyDescent="0.2">
      <c r="A130">
        <v>129</v>
      </c>
      <c r="B130">
        <v>64</v>
      </c>
      <c r="C130">
        <v>494</v>
      </c>
      <c r="D130">
        <v>48</v>
      </c>
      <c r="E130">
        <f t="shared" si="9"/>
        <v>859</v>
      </c>
      <c r="F130" s="2">
        <f t="shared" si="13"/>
        <v>46.092250657496905</v>
      </c>
      <c r="G130">
        <f t="shared" si="11"/>
        <v>1224</v>
      </c>
      <c r="H130" s="2">
        <f t="shared" si="12"/>
        <v>46.092250657496905</v>
      </c>
    </row>
    <row r="131" spans="1:8" x14ac:dyDescent="0.2">
      <c r="A131">
        <v>130</v>
      </c>
      <c r="B131">
        <v>62</v>
      </c>
      <c r="C131">
        <v>495</v>
      </c>
      <c r="D131">
        <v>55</v>
      </c>
      <c r="E131">
        <f t="shared" ref="E131:E194" si="14">A131+730</f>
        <v>860</v>
      </c>
      <c r="F131" s="2">
        <f t="shared" si="13"/>
        <v>46.092250657496905</v>
      </c>
      <c r="G131">
        <f t="shared" ref="G131:G194" si="15">C131+730</f>
        <v>1225</v>
      </c>
      <c r="H131" s="2">
        <f t="shared" ref="H131:H194" si="16">F131</f>
        <v>46.092250657496905</v>
      </c>
    </row>
    <row r="132" spans="1:8" x14ac:dyDescent="0.2">
      <c r="A132">
        <v>131</v>
      </c>
      <c r="B132">
        <v>75</v>
      </c>
      <c r="C132">
        <v>496</v>
      </c>
      <c r="D132">
        <v>59</v>
      </c>
      <c r="E132">
        <f t="shared" si="14"/>
        <v>861</v>
      </c>
      <c r="F132" s="2">
        <f t="shared" si="13"/>
        <v>46.092250657496905</v>
      </c>
      <c r="G132">
        <f t="shared" si="15"/>
        <v>1226</v>
      </c>
      <c r="H132" s="2">
        <f t="shared" si="16"/>
        <v>46.092250657496905</v>
      </c>
    </row>
    <row r="133" spans="1:8" x14ac:dyDescent="0.2">
      <c r="A133">
        <v>132</v>
      </c>
      <c r="B133">
        <v>40</v>
      </c>
      <c r="C133">
        <v>497</v>
      </c>
      <c r="D133">
        <v>32</v>
      </c>
      <c r="E133">
        <f t="shared" si="14"/>
        <v>862</v>
      </c>
      <c r="F133" s="2">
        <f t="shared" si="13"/>
        <v>46.092250657496905</v>
      </c>
      <c r="G133">
        <f t="shared" si="15"/>
        <v>1227</v>
      </c>
      <c r="H133" s="2">
        <f t="shared" si="16"/>
        <v>46.092250657496905</v>
      </c>
    </row>
    <row r="134" spans="1:8" x14ac:dyDescent="0.2">
      <c r="A134">
        <v>133</v>
      </c>
      <c r="B134">
        <v>129</v>
      </c>
      <c r="C134">
        <v>498</v>
      </c>
      <c r="D134">
        <v>32</v>
      </c>
      <c r="E134">
        <f t="shared" si="14"/>
        <v>863</v>
      </c>
      <c r="F134" s="2">
        <f t="shared" si="13"/>
        <v>46.092250657496905</v>
      </c>
      <c r="G134">
        <f t="shared" si="15"/>
        <v>1228</v>
      </c>
      <c r="H134" s="2">
        <f t="shared" si="16"/>
        <v>46.092250657496905</v>
      </c>
    </row>
    <row r="135" spans="1:8" x14ac:dyDescent="0.2">
      <c r="A135">
        <v>134</v>
      </c>
      <c r="B135">
        <v>64</v>
      </c>
      <c r="C135">
        <v>499</v>
      </c>
      <c r="D135">
        <v>92</v>
      </c>
      <c r="E135">
        <f t="shared" si="14"/>
        <v>864</v>
      </c>
      <c r="F135" s="2">
        <f t="shared" si="13"/>
        <v>46.092250657496905</v>
      </c>
      <c r="G135">
        <f t="shared" si="15"/>
        <v>1229</v>
      </c>
      <c r="H135" s="2">
        <f t="shared" si="16"/>
        <v>46.092250657496905</v>
      </c>
    </row>
    <row r="136" spans="1:8" x14ac:dyDescent="0.2">
      <c r="A136">
        <v>135</v>
      </c>
      <c r="B136">
        <v>79</v>
      </c>
      <c r="C136">
        <v>500</v>
      </c>
      <c r="D136">
        <v>51</v>
      </c>
      <c r="E136">
        <f t="shared" si="14"/>
        <v>865</v>
      </c>
      <c r="F136" s="2">
        <f t="shared" si="13"/>
        <v>46.092250657496905</v>
      </c>
      <c r="G136">
        <f t="shared" si="15"/>
        <v>1230</v>
      </c>
      <c r="H136" s="2">
        <f t="shared" si="16"/>
        <v>46.092250657496905</v>
      </c>
    </row>
    <row r="137" spans="1:8" x14ac:dyDescent="0.2">
      <c r="A137">
        <v>136</v>
      </c>
      <c r="B137">
        <v>69</v>
      </c>
      <c r="C137">
        <v>501</v>
      </c>
      <c r="D137">
        <v>39</v>
      </c>
      <c r="E137">
        <f t="shared" si="14"/>
        <v>866</v>
      </c>
      <c r="F137" s="2">
        <f t="shared" si="13"/>
        <v>46.092250657496905</v>
      </c>
      <c r="G137">
        <f t="shared" si="15"/>
        <v>1231</v>
      </c>
      <c r="H137" s="2">
        <f t="shared" si="16"/>
        <v>46.092250657496905</v>
      </c>
    </row>
    <row r="138" spans="1:8" x14ac:dyDescent="0.2">
      <c r="A138">
        <v>137</v>
      </c>
      <c r="B138">
        <v>49</v>
      </c>
      <c r="C138">
        <v>502</v>
      </c>
      <c r="D138">
        <v>24</v>
      </c>
      <c r="E138">
        <f t="shared" si="14"/>
        <v>867</v>
      </c>
      <c r="F138" s="2">
        <f t="shared" si="13"/>
        <v>46.092250657496905</v>
      </c>
      <c r="G138">
        <f t="shared" si="15"/>
        <v>1232</v>
      </c>
      <c r="H138" s="2">
        <f t="shared" si="16"/>
        <v>46.092250657496905</v>
      </c>
    </row>
    <row r="139" spans="1:8" x14ac:dyDescent="0.2">
      <c r="A139">
        <v>138</v>
      </c>
      <c r="B139">
        <v>45</v>
      </c>
      <c r="C139">
        <v>503</v>
      </c>
      <c r="D139">
        <v>71</v>
      </c>
      <c r="E139">
        <f t="shared" si="14"/>
        <v>868</v>
      </c>
      <c r="F139" s="2">
        <f t="shared" si="13"/>
        <v>46.092250657496905</v>
      </c>
      <c r="G139">
        <f t="shared" si="15"/>
        <v>1233</v>
      </c>
      <c r="H139" s="2">
        <f t="shared" si="16"/>
        <v>46.092250657496905</v>
      </c>
    </row>
    <row r="140" spans="1:8" x14ac:dyDescent="0.2">
      <c r="A140">
        <v>139</v>
      </c>
      <c r="B140">
        <v>43</v>
      </c>
      <c r="C140">
        <v>504</v>
      </c>
      <c r="D140">
        <v>88</v>
      </c>
      <c r="E140">
        <f t="shared" si="14"/>
        <v>869</v>
      </c>
      <c r="F140" s="2">
        <f t="shared" ref="F140:F147" si="17">$P$19</f>
        <v>46.092250657496905</v>
      </c>
      <c r="G140">
        <f t="shared" si="15"/>
        <v>1234</v>
      </c>
      <c r="H140" s="2">
        <f t="shared" si="16"/>
        <v>46.092250657496905</v>
      </c>
    </row>
    <row r="141" spans="1:8" x14ac:dyDescent="0.2">
      <c r="A141">
        <v>140</v>
      </c>
      <c r="B141">
        <v>62</v>
      </c>
      <c r="C141">
        <v>505</v>
      </c>
      <c r="D141">
        <v>38</v>
      </c>
      <c r="E141">
        <f t="shared" si="14"/>
        <v>870</v>
      </c>
      <c r="F141" s="2">
        <f t="shared" si="17"/>
        <v>46.092250657496905</v>
      </c>
      <c r="G141">
        <f t="shared" si="15"/>
        <v>1235</v>
      </c>
      <c r="H141" s="2">
        <f t="shared" si="16"/>
        <v>46.092250657496905</v>
      </c>
    </row>
    <row r="142" spans="1:8" x14ac:dyDescent="0.2">
      <c r="A142">
        <v>141</v>
      </c>
      <c r="B142">
        <v>52</v>
      </c>
      <c r="C142">
        <v>506</v>
      </c>
      <c r="D142">
        <v>59</v>
      </c>
      <c r="E142">
        <f t="shared" si="14"/>
        <v>871</v>
      </c>
      <c r="F142" s="2">
        <f t="shared" si="17"/>
        <v>46.092250657496905</v>
      </c>
      <c r="G142">
        <f t="shared" si="15"/>
        <v>1236</v>
      </c>
      <c r="H142" s="2">
        <f t="shared" si="16"/>
        <v>46.092250657496905</v>
      </c>
    </row>
    <row r="143" spans="1:8" x14ac:dyDescent="0.2">
      <c r="A143">
        <v>142</v>
      </c>
      <c r="B143">
        <v>48</v>
      </c>
      <c r="C143">
        <v>507</v>
      </c>
      <c r="D143">
        <v>55</v>
      </c>
      <c r="E143">
        <f t="shared" si="14"/>
        <v>872</v>
      </c>
      <c r="F143" s="2">
        <f t="shared" si="17"/>
        <v>46.092250657496905</v>
      </c>
      <c r="G143">
        <f t="shared" si="15"/>
        <v>1237</v>
      </c>
      <c r="H143" s="2">
        <f t="shared" si="16"/>
        <v>46.092250657496905</v>
      </c>
    </row>
    <row r="144" spans="1:8" x14ac:dyDescent="0.2">
      <c r="A144">
        <v>143</v>
      </c>
      <c r="B144">
        <v>83</v>
      </c>
      <c r="C144">
        <v>508</v>
      </c>
      <c r="D144">
        <v>55</v>
      </c>
      <c r="E144">
        <f t="shared" si="14"/>
        <v>873</v>
      </c>
      <c r="F144" s="2">
        <f t="shared" si="17"/>
        <v>46.092250657496905</v>
      </c>
      <c r="G144">
        <f t="shared" si="15"/>
        <v>1238</v>
      </c>
      <c r="H144" s="2">
        <f t="shared" si="16"/>
        <v>46.092250657496905</v>
      </c>
    </row>
    <row r="145" spans="1:8" x14ac:dyDescent="0.2">
      <c r="A145">
        <v>144</v>
      </c>
      <c r="B145">
        <v>45</v>
      </c>
      <c r="C145">
        <v>509</v>
      </c>
      <c r="D145">
        <v>75</v>
      </c>
      <c r="E145">
        <f t="shared" si="14"/>
        <v>874</v>
      </c>
      <c r="F145" s="2">
        <f t="shared" si="17"/>
        <v>46.092250657496905</v>
      </c>
      <c r="G145">
        <f t="shared" si="15"/>
        <v>1239</v>
      </c>
      <c r="H145" s="2">
        <f t="shared" si="16"/>
        <v>46.092250657496905</v>
      </c>
    </row>
    <row r="146" spans="1:8" x14ac:dyDescent="0.2">
      <c r="A146">
        <v>145</v>
      </c>
      <c r="B146">
        <v>42</v>
      </c>
      <c r="C146">
        <v>510</v>
      </c>
      <c r="D146">
        <v>28</v>
      </c>
      <c r="E146">
        <f t="shared" si="14"/>
        <v>875</v>
      </c>
      <c r="F146" s="2">
        <f t="shared" si="17"/>
        <v>46.092250657496905</v>
      </c>
      <c r="G146">
        <f t="shared" si="15"/>
        <v>1240</v>
      </c>
      <c r="H146" s="2">
        <f t="shared" si="16"/>
        <v>46.092250657496905</v>
      </c>
    </row>
    <row r="147" spans="1:8" x14ac:dyDescent="0.2">
      <c r="A147">
        <v>146</v>
      </c>
      <c r="B147">
        <v>83</v>
      </c>
      <c r="C147">
        <v>511</v>
      </c>
      <c r="D147">
        <v>90</v>
      </c>
      <c r="E147">
        <f t="shared" si="14"/>
        <v>876</v>
      </c>
      <c r="F147" s="2">
        <f t="shared" si="17"/>
        <v>46.092250657496905</v>
      </c>
      <c r="G147">
        <f t="shared" si="15"/>
        <v>1241</v>
      </c>
      <c r="H147" s="2">
        <f t="shared" si="16"/>
        <v>46.092250657496905</v>
      </c>
    </row>
    <row r="148" spans="1:8" x14ac:dyDescent="0.2">
      <c r="A148">
        <v>147</v>
      </c>
      <c r="B148">
        <v>57</v>
      </c>
      <c r="C148">
        <v>512</v>
      </c>
      <c r="D148">
        <v>27</v>
      </c>
      <c r="E148">
        <f t="shared" si="14"/>
        <v>877</v>
      </c>
      <c r="F148" s="2">
        <f>$P$20</f>
        <v>67.906594503598825</v>
      </c>
      <c r="G148">
        <f t="shared" si="15"/>
        <v>1242</v>
      </c>
      <c r="H148" s="2">
        <f t="shared" si="16"/>
        <v>67.906594503598825</v>
      </c>
    </row>
    <row r="149" spans="1:8" x14ac:dyDescent="0.2">
      <c r="A149">
        <v>148</v>
      </c>
      <c r="B149">
        <v>61</v>
      </c>
      <c r="C149">
        <v>513</v>
      </c>
      <c r="D149">
        <v>32</v>
      </c>
      <c r="E149">
        <f t="shared" si="14"/>
        <v>878</v>
      </c>
      <c r="F149" s="2">
        <f t="shared" ref="F149:F212" si="18">$P$20</f>
        <v>67.906594503598825</v>
      </c>
      <c r="G149">
        <f t="shared" si="15"/>
        <v>1243</v>
      </c>
      <c r="H149" s="2">
        <f t="shared" si="16"/>
        <v>67.906594503598825</v>
      </c>
    </row>
    <row r="150" spans="1:8" x14ac:dyDescent="0.2">
      <c r="A150">
        <v>149</v>
      </c>
      <c r="B150">
        <v>81</v>
      </c>
      <c r="C150">
        <v>514</v>
      </c>
      <c r="D150">
        <v>58</v>
      </c>
      <c r="E150">
        <f t="shared" si="14"/>
        <v>879</v>
      </c>
      <c r="F150" s="2">
        <f t="shared" si="18"/>
        <v>67.906594503598825</v>
      </c>
      <c r="G150">
        <f t="shared" si="15"/>
        <v>1244</v>
      </c>
      <c r="H150" s="2">
        <f t="shared" si="16"/>
        <v>67.906594503598825</v>
      </c>
    </row>
    <row r="151" spans="1:8" x14ac:dyDescent="0.2">
      <c r="A151">
        <v>150</v>
      </c>
      <c r="B151">
        <v>59</v>
      </c>
      <c r="C151">
        <v>515</v>
      </c>
      <c r="D151">
        <v>78</v>
      </c>
      <c r="E151">
        <f t="shared" si="14"/>
        <v>880</v>
      </c>
      <c r="F151" s="2">
        <f t="shared" si="18"/>
        <v>67.906594503598825</v>
      </c>
      <c r="G151">
        <f t="shared" si="15"/>
        <v>1245</v>
      </c>
      <c r="H151" s="2">
        <f t="shared" si="16"/>
        <v>67.906594503598825</v>
      </c>
    </row>
    <row r="152" spans="1:8" x14ac:dyDescent="0.2">
      <c r="A152">
        <v>151</v>
      </c>
      <c r="B152">
        <v>51</v>
      </c>
      <c r="C152">
        <v>516</v>
      </c>
      <c r="D152">
        <v>48</v>
      </c>
      <c r="E152">
        <f t="shared" si="14"/>
        <v>881</v>
      </c>
      <c r="F152" s="2">
        <f t="shared" si="18"/>
        <v>67.906594503598825</v>
      </c>
      <c r="G152">
        <f t="shared" si="15"/>
        <v>1246</v>
      </c>
      <c r="H152" s="2">
        <f t="shared" si="16"/>
        <v>67.906594503598825</v>
      </c>
    </row>
    <row r="153" spans="1:8" x14ac:dyDescent="0.2">
      <c r="A153">
        <v>152</v>
      </c>
      <c r="B153">
        <v>68</v>
      </c>
      <c r="C153">
        <v>517</v>
      </c>
      <c r="D153">
        <v>97</v>
      </c>
      <c r="E153">
        <f t="shared" si="14"/>
        <v>882</v>
      </c>
      <c r="F153" s="2">
        <f t="shared" si="18"/>
        <v>67.906594503598825</v>
      </c>
      <c r="G153">
        <f t="shared" si="15"/>
        <v>1247</v>
      </c>
      <c r="H153" s="2">
        <f t="shared" si="16"/>
        <v>67.906594503598825</v>
      </c>
    </row>
    <row r="154" spans="1:8" x14ac:dyDescent="0.2">
      <c r="A154">
        <v>153</v>
      </c>
      <c r="B154">
        <v>101</v>
      </c>
      <c r="C154">
        <v>518</v>
      </c>
      <c r="D154">
        <v>106</v>
      </c>
      <c r="E154">
        <f t="shared" si="14"/>
        <v>883</v>
      </c>
      <c r="F154" s="2">
        <f t="shared" si="18"/>
        <v>67.906594503598825</v>
      </c>
      <c r="G154">
        <f t="shared" si="15"/>
        <v>1248</v>
      </c>
      <c r="H154" s="2">
        <f t="shared" si="16"/>
        <v>67.906594503598825</v>
      </c>
    </row>
    <row r="155" spans="1:8" x14ac:dyDescent="0.2">
      <c r="A155">
        <v>154</v>
      </c>
      <c r="B155">
        <v>80</v>
      </c>
      <c r="C155">
        <v>519</v>
      </c>
      <c r="D155">
        <v>53</v>
      </c>
      <c r="E155">
        <f t="shared" si="14"/>
        <v>884</v>
      </c>
      <c r="F155" s="2">
        <f t="shared" si="18"/>
        <v>67.906594503598825</v>
      </c>
      <c r="G155">
        <f t="shared" si="15"/>
        <v>1249</v>
      </c>
      <c r="H155" s="2">
        <f t="shared" si="16"/>
        <v>67.906594503598825</v>
      </c>
    </row>
    <row r="156" spans="1:8" x14ac:dyDescent="0.2">
      <c r="A156">
        <v>155</v>
      </c>
      <c r="B156">
        <v>43</v>
      </c>
      <c r="C156">
        <v>520</v>
      </c>
      <c r="D156">
        <v>43</v>
      </c>
      <c r="E156">
        <f t="shared" si="14"/>
        <v>885</v>
      </c>
      <c r="F156" s="2">
        <f t="shared" si="18"/>
        <v>67.906594503598825</v>
      </c>
      <c r="G156">
        <f t="shared" si="15"/>
        <v>1250</v>
      </c>
      <c r="H156" s="2">
        <f t="shared" si="16"/>
        <v>67.906594503598825</v>
      </c>
    </row>
    <row r="157" spans="1:8" x14ac:dyDescent="0.2">
      <c r="A157">
        <v>156</v>
      </c>
      <c r="B157">
        <v>64</v>
      </c>
      <c r="C157">
        <v>521</v>
      </c>
      <c r="D157">
        <v>59</v>
      </c>
      <c r="E157">
        <f t="shared" si="14"/>
        <v>886</v>
      </c>
      <c r="F157" s="2">
        <f t="shared" si="18"/>
        <v>67.906594503598825</v>
      </c>
      <c r="G157">
        <f t="shared" si="15"/>
        <v>1251</v>
      </c>
      <c r="H157" s="2">
        <f t="shared" si="16"/>
        <v>67.906594503598825</v>
      </c>
    </row>
    <row r="158" spans="1:8" x14ac:dyDescent="0.2">
      <c r="A158">
        <v>157</v>
      </c>
      <c r="B158">
        <v>89</v>
      </c>
      <c r="C158">
        <v>522</v>
      </c>
      <c r="D158">
        <v>28</v>
      </c>
      <c r="E158">
        <f t="shared" si="14"/>
        <v>887</v>
      </c>
      <c r="F158" s="2">
        <f t="shared" si="18"/>
        <v>67.906594503598825</v>
      </c>
      <c r="G158">
        <f t="shared" si="15"/>
        <v>1252</v>
      </c>
      <c r="H158" s="2">
        <f t="shared" si="16"/>
        <v>67.906594503598825</v>
      </c>
    </row>
    <row r="159" spans="1:8" x14ac:dyDescent="0.2">
      <c r="A159">
        <v>158</v>
      </c>
      <c r="B159">
        <v>94</v>
      </c>
      <c r="C159">
        <v>523</v>
      </c>
      <c r="D159">
        <v>70</v>
      </c>
      <c r="E159">
        <f t="shared" si="14"/>
        <v>888</v>
      </c>
      <c r="F159" s="2">
        <f t="shared" si="18"/>
        <v>67.906594503598825</v>
      </c>
      <c r="G159">
        <f t="shared" si="15"/>
        <v>1253</v>
      </c>
      <c r="H159" s="2">
        <f t="shared" si="16"/>
        <v>67.906594503598825</v>
      </c>
    </row>
    <row r="160" spans="1:8" x14ac:dyDescent="0.2">
      <c r="A160">
        <v>159</v>
      </c>
      <c r="B160">
        <v>49</v>
      </c>
      <c r="C160">
        <v>524</v>
      </c>
      <c r="D160">
        <v>72</v>
      </c>
      <c r="E160">
        <f t="shared" si="14"/>
        <v>889</v>
      </c>
      <c r="F160" s="2">
        <f t="shared" si="18"/>
        <v>67.906594503598825</v>
      </c>
      <c r="G160">
        <f t="shared" si="15"/>
        <v>1254</v>
      </c>
      <c r="H160" s="2">
        <f t="shared" si="16"/>
        <v>67.906594503598825</v>
      </c>
    </row>
    <row r="161" spans="1:8" x14ac:dyDescent="0.2">
      <c r="A161">
        <v>160</v>
      </c>
      <c r="B161">
        <v>77</v>
      </c>
      <c r="C161">
        <v>525</v>
      </c>
      <c r="D161">
        <v>80</v>
      </c>
      <c r="E161">
        <f t="shared" si="14"/>
        <v>890</v>
      </c>
      <c r="F161" s="2">
        <f t="shared" si="18"/>
        <v>67.906594503598825</v>
      </c>
      <c r="G161">
        <f t="shared" si="15"/>
        <v>1255</v>
      </c>
      <c r="H161" s="2">
        <f t="shared" si="16"/>
        <v>67.906594503598825</v>
      </c>
    </row>
    <row r="162" spans="1:8" x14ac:dyDescent="0.2">
      <c r="A162">
        <v>161</v>
      </c>
      <c r="B162">
        <v>74</v>
      </c>
      <c r="C162">
        <v>526</v>
      </c>
      <c r="D162">
        <v>53</v>
      </c>
      <c r="E162">
        <f t="shared" si="14"/>
        <v>891</v>
      </c>
      <c r="F162" s="2">
        <f t="shared" si="18"/>
        <v>67.906594503598825</v>
      </c>
      <c r="G162">
        <f t="shared" si="15"/>
        <v>1256</v>
      </c>
      <c r="H162" s="2">
        <f t="shared" si="16"/>
        <v>67.906594503598825</v>
      </c>
    </row>
    <row r="163" spans="1:8" x14ac:dyDescent="0.2">
      <c r="A163">
        <v>162</v>
      </c>
      <c r="B163">
        <v>56</v>
      </c>
      <c r="C163">
        <v>527</v>
      </c>
      <c r="D163">
        <v>52</v>
      </c>
      <c r="E163">
        <f t="shared" si="14"/>
        <v>892</v>
      </c>
      <c r="F163" s="2">
        <f t="shared" si="18"/>
        <v>67.906594503598825</v>
      </c>
      <c r="G163">
        <f t="shared" si="15"/>
        <v>1257</v>
      </c>
      <c r="H163" s="2">
        <f t="shared" si="16"/>
        <v>67.906594503598825</v>
      </c>
    </row>
    <row r="164" spans="1:8" x14ac:dyDescent="0.2">
      <c r="A164">
        <v>163</v>
      </c>
      <c r="B164">
        <v>54</v>
      </c>
      <c r="C164">
        <v>528</v>
      </c>
      <c r="D164">
        <v>64</v>
      </c>
      <c r="E164">
        <f t="shared" si="14"/>
        <v>893</v>
      </c>
      <c r="F164" s="2">
        <f t="shared" si="18"/>
        <v>67.906594503598825</v>
      </c>
      <c r="G164">
        <f t="shared" si="15"/>
        <v>1258</v>
      </c>
      <c r="H164" s="2">
        <f t="shared" si="16"/>
        <v>67.906594503598825</v>
      </c>
    </row>
    <row r="165" spans="1:8" x14ac:dyDescent="0.2">
      <c r="A165">
        <v>164</v>
      </c>
      <c r="B165">
        <v>67</v>
      </c>
      <c r="C165">
        <v>529</v>
      </c>
      <c r="D165">
        <v>66</v>
      </c>
      <c r="E165">
        <f t="shared" si="14"/>
        <v>894</v>
      </c>
      <c r="F165" s="2">
        <f t="shared" si="18"/>
        <v>67.906594503598825</v>
      </c>
      <c r="G165">
        <f t="shared" si="15"/>
        <v>1259</v>
      </c>
      <c r="H165" s="2">
        <f t="shared" si="16"/>
        <v>67.906594503598825</v>
      </c>
    </row>
    <row r="166" spans="1:8" x14ac:dyDescent="0.2">
      <c r="A166">
        <v>165</v>
      </c>
      <c r="B166">
        <v>83</v>
      </c>
      <c r="C166">
        <v>530</v>
      </c>
      <c r="D166">
        <v>62</v>
      </c>
      <c r="E166">
        <f t="shared" si="14"/>
        <v>895</v>
      </c>
      <c r="F166" s="2">
        <f t="shared" si="18"/>
        <v>67.906594503598825</v>
      </c>
      <c r="G166">
        <f t="shared" si="15"/>
        <v>1260</v>
      </c>
      <c r="H166" s="2">
        <f t="shared" si="16"/>
        <v>67.906594503598825</v>
      </c>
    </row>
    <row r="167" spans="1:8" x14ac:dyDescent="0.2">
      <c r="A167">
        <v>166</v>
      </c>
      <c r="B167">
        <v>56</v>
      </c>
      <c r="C167">
        <v>531</v>
      </c>
      <c r="D167">
        <v>66</v>
      </c>
      <c r="E167">
        <f t="shared" si="14"/>
        <v>896</v>
      </c>
      <c r="F167" s="2">
        <f t="shared" si="18"/>
        <v>67.906594503598825</v>
      </c>
      <c r="G167">
        <f t="shared" si="15"/>
        <v>1261</v>
      </c>
      <c r="H167" s="2">
        <f t="shared" si="16"/>
        <v>67.906594503598825</v>
      </c>
    </row>
    <row r="168" spans="1:8" x14ac:dyDescent="0.2">
      <c r="A168">
        <v>167</v>
      </c>
      <c r="B168">
        <v>70</v>
      </c>
      <c r="C168">
        <v>532</v>
      </c>
      <c r="D168">
        <v>94</v>
      </c>
      <c r="E168">
        <f t="shared" si="14"/>
        <v>897</v>
      </c>
      <c r="F168" s="2">
        <f t="shared" si="18"/>
        <v>67.906594503598825</v>
      </c>
      <c r="G168">
        <f t="shared" si="15"/>
        <v>1262</v>
      </c>
      <c r="H168" s="2">
        <f t="shared" si="16"/>
        <v>67.906594503598825</v>
      </c>
    </row>
    <row r="169" spans="1:8" x14ac:dyDescent="0.2">
      <c r="A169">
        <v>168</v>
      </c>
      <c r="B169">
        <v>58</v>
      </c>
      <c r="C169">
        <v>533</v>
      </c>
      <c r="D169">
        <v>88</v>
      </c>
      <c r="E169">
        <f t="shared" si="14"/>
        <v>898</v>
      </c>
      <c r="F169" s="2">
        <f t="shared" si="18"/>
        <v>67.906594503598825</v>
      </c>
      <c r="G169">
        <f t="shared" si="15"/>
        <v>1263</v>
      </c>
      <c r="H169" s="2">
        <f t="shared" si="16"/>
        <v>67.906594503598825</v>
      </c>
    </row>
    <row r="170" spans="1:8" x14ac:dyDescent="0.2">
      <c r="A170">
        <v>169</v>
      </c>
      <c r="B170">
        <v>76</v>
      </c>
      <c r="C170">
        <v>534</v>
      </c>
      <c r="D170">
        <v>37</v>
      </c>
      <c r="E170">
        <f t="shared" si="14"/>
        <v>899</v>
      </c>
      <c r="F170" s="2">
        <f t="shared" si="18"/>
        <v>67.906594503598825</v>
      </c>
      <c r="G170">
        <f t="shared" si="15"/>
        <v>1264</v>
      </c>
      <c r="H170" s="2">
        <f t="shared" si="16"/>
        <v>67.906594503598825</v>
      </c>
    </row>
    <row r="171" spans="1:8" x14ac:dyDescent="0.2">
      <c r="A171">
        <v>170</v>
      </c>
      <c r="B171">
        <v>74</v>
      </c>
      <c r="C171">
        <v>535</v>
      </c>
      <c r="D171">
        <v>71</v>
      </c>
      <c r="E171">
        <f t="shared" si="14"/>
        <v>900</v>
      </c>
      <c r="F171" s="2">
        <f t="shared" si="18"/>
        <v>67.906594503598825</v>
      </c>
      <c r="G171">
        <f t="shared" si="15"/>
        <v>1265</v>
      </c>
      <c r="H171" s="2">
        <f t="shared" si="16"/>
        <v>67.906594503598825</v>
      </c>
    </row>
    <row r="172" spans="1:8" x14ac:dyDescent="0.2">
      <c r="A172">
        <v>171</v>
      </c>
      <c r="B172">
        <v>46</v>
      </c>
      <c r="C172">
        <v>536</v>
      </c>
      <c r="D172">
        <v>89</v>
      </c>
      <c r="E172">
        <f t="shared" si="14"/>
        <v>901</v>
      </c>
      <c r="F172" s="2">
        <f t="shared" si="18"/>
        <v>67.906594503598825</v>
      </c>
      <c r="G172">
        <f t="shared" si="15"/>
        <v>1266</v>
      </c>
      <c r="H172" s="2">
        <f t="shared" si="16"/>
        <v>67.906594503598825</v>
      </c>
    </row>
    <row r="173" spans="1:8" x14ac:dyDescent="0.2">
      <c r="A173">
        <v>172</v>
      </c>
      <c r="B173">
        <v>80</v>
      </c>
      <c r="C173">
        <v>537</v>
      </c>
      <c r="D173">
        <v>83</v>
      </c>
      <c r="E173">
        <f t="shared" si="14"/>
        <v>902</v>
      </c>
      <c r="F173" s="2">
        <f t="shared" si="18"/>
        <v>67.906594503598825</v>
      </c>
      <c r="G173">
        <f t="shared" si="15"/>
        <v>1267</v>
      </c>
      <c r="H173" s="2">
        <f t="shared" si="16"/>
        <v>67.906594503598825</v>
      </c>
    </row>
    <row r="174" spans="1:8" x14ac:dyDescent="0.2">
      <c r="A174">
        <v>173</v>
      </c>
      <c r="B174">
        <v>48</v>
      </c>
      <c r="C174">
        <v>538</v>
      </c>
      <c r="D174">
        <v>72</v>
      </c>
      <c r="E174">
        <f t="shared" si="14"/>
        <v>903</v>
      </c>
      <c r="F174" s="2">
        <f t="shared" si="18"/>
        <v>67.906594503598825</v>
      </c>
      <c r="G174">
        <f t="shared" si="15"/>
        <v>1268</v>
      </c>
      <c r="H174" s="2">
        <f t="shared" si="16"/>
        <v>67.906594503598825</v>
      </c>
    </row>
    <row r="175" spans="1:8" x14ac:dyDescent="0.2">
      <c r="A175">
        <v>174</v>
      </c>
      <c r="B175">
        <v>67</v>
      </c>
      <c r="C175">
        <v>539</v>
      </c>
      <c r="D175">
        <v>86</v>
      </c>
      <c r="E175">
        <f t="shared" si="14"/>
        <v>904</v>
      </c>
      <c r="F175" s="2">
        <f t="shared" si="18"/>
        <v>67.906594503598825</v>
      </c>
      <c r="G175">
        <f t="shared" si="15"/>
        <v>1269</v>
      </c>
      <c r="H175" s="2">
        <f t="shared" si="16"/>
        <v>67.906594503598825</v>
      </c>
    </row>
    <row r="176" spans="1:8" x14ac:dyDescent="0.2">
      <c r="A176">
        <v>175</v>
      </c>
      <c r="B176">
        <v>104</v>
      </c>
      <c r="C176">
        <v>540</v>
      </c>
      <c r="D176">
        <v>53</v>
      </c>
      <c r="E176">
        <f t="shared" si="14"/>
        <v>905</v>
      </c>
      <c r="F176" s="2">
        <f t="shared" si="18"/>
        <v>67.906594503598825</v>
      </c>
      <c r="G176">
        <f t="shared" si="15"/>
        <v>1270</v>
      </c>
      <c r="H176" s="2">
        <f t="shared" si="16"/>
        <v>67.906594503598825</v>
      </c>
    </row>
    <row r="177" spans="1:8" x14ac:dyDescent="0.2">
      <c r="A177">
        <v>176</v>
      </c>
      <c r="B177">
        <v>41</v>
      </c>
      <c r="C177">
        <v>541</v>
      </c>
      <c r="D177">
        <v>72</v>
      </c>
      <c r="E177">
        <f t="shared" si="14"/>
        <v>906</v>
      </c>
      <c r="F177" s="2">
        <f t="shared" si="18"/>
        <v>67.906594503598825</v>
      </c>
      <c r="G177">
        <f t="shared" si="15"/>
        <v>1271</v>
      </c>
      <c r="H177" s="2">
        <f t="shared" si="16"/>
        <v>67.906594503598825</v>
      </c>
    </row>
    <row r="178" spans="1:8" x14ac:dyDescent="0.2">
      <c r="A178">
        <v>177</v>
      </c>
      <c r="B178">
        <v>81</v>
      </c>
      <c r="C178">
        <v>542</v>
      </c>
      <c r="D178">
        <v>107</v>
      </c>
      <c r="E178">
        <f t="shared" si="14"/>
        <v>907</v>
      </c>
      <c r="F178" s="2">
        <f t="shared" si="18"/>
        <v>67.906594503598825</v>
      </c>
      <c r="G178">
        <f t="shared" si="15"/>
        <v>1272</v>
      </c>
      <c r="H178" s="2">
        <f t="shared" si="16"/>
        <v>67.906594503598825</v>
      </c>
    </row>
    <row r="179" spans="1:8" x14ac:dyDescent="0.2">
      <c r="A179">
        <v>178</v>
      </c>
      <c r="B179">
        <v>70</v>
      </c>
      <c r="C179">
        <v>543</v>
      </c>
      <c r="D179">
        <v>42</v>
      </c>
      <c r="E179">
        <f t="shared" si="14"/>
        <v>908</v>
      </c>
      <c r="F179" s="2">
        <f t="shared" si="18"/>
        <v>67.906594503598825</v>
      </c>
      <c r="G179">
        <f t="shared" si="15"/>
        <v>1273</v>
      </c>
      <c r="H179" s="2">
        <f t="shared" si="16"/>
        <v>67.906594503598825</v>
      </c>
    </row>
    <row r="180" spans="1:8" x14ac:dyDescent="0.2">
      <c r="A180">
        <v>179</v>
      </c>
      <c r="B180">
        <v>69</v>
      </c>
      <c r="C180">
        <v>544</v>
      </c>
      <c r="D180">
        <v>76</v>
      </c>
      <c r="E180">
        <f t="shared" si="14"/>
        <v>909</v>
      </c>
      <c r="F180" s="2">
        <f t="shared" si="18"/>
        <v>67.906594503598825</v>
      </c>
      <c r="G180">
        <f t="shared" si="15"/>
        <v>1274</v>
      </c>
      <c r="H180" s="2">
        <f t="shared" si="16"/>
        <v>67.906594503598825</v>
      </c>
    </row>
    <row r="181" spans="1:8" x14ac:dyDescent="0.2">
      <c r="A181">
        <v>180</v>
      </c>
      <c r="B181">
        <v>133</v>
      </c>
      <c r="C181">
        <v>545</v>
      </c>
      <c r="D181">
        <v>44</v>
      </c>
      <c r="E181">
        <f t="shared" si="14"/>
        <v>910</v>
      </c>
      <c r="F181" s="2">
        <f t="shared" si="18"/>
        <v>67.906594503598825</v>
      </c>
      <c r="G181">
        <f t="shared" si="15"/>
        <v>1275</v>
      </c>
      <c r="H181" s="2">
        <f t="shared" si="16"/>
        <v>67.906594503598825</v>
      </c>
    </row>
    <row r="182" spans="1:8" x14ac:dyDescent="0.2">
      <c r="A182">
        <v>181</v>
      </c>
      <c r="B182">
        <v>56</v>
      </c>
      <c r="C182">
        <v>546</v>
      </c>
      <c r="D182">
        <v>45</v>
      </c>
      <c r="E182">
        <f t="shared" si="14"/>
        <v>911</v>
      </c>
      <c r="F182" s="2">
        <f t="shared" si="18"/>
        <v>67.906594503598825</v>
      </c>
      <c r="G182">
        <f t="shared" si="15"/>
        <v>1276</v>
      </c>
      <c r="H182" s="2">
        <f t="shared" si="16"/>
        <v>67.906594503598825</v>
      </c>
    </row>
    <row r="183" spans="1:8" x14ac:dyDescent="0.2">
      <c r="A183">
        <v>182</v>
      </c>
      <c r="B183">
        <v>56</v>
      </c>
      <c r="C183">
        <v>547</v>
      </c>
      <c r="D183">
        <v>63</v>
      </c>
      <c r="E183">
        <f t="shared" si="14"/>
        <v>912</v>
      </c>
      <c r="F183" s="2">
        <f t="shared" si="18"/>
        <v>67.906594503598825</v>
      </c>
      <c r="G183">
        <f t="shared" si="15"/>
        <v>1277</v>
      </c>
      <c r="H183" s="2">
        <f t="shared" si="16"/>
        <v>67.906594503598825</v>
      </c>
    </row>
    <row r="184" spans="1:8" x14ac:dyDescent="0.2">
      <c r="A184">
        <v>183</v>
      </c>
      <c r="B184">
        <v>88</v>
      </c>
      <c r="C184">
        <v>548</v>
      </c>
      <c r="D184">
        <v>53</v>
      </c>
      <c r="E184">
        <f t="shared" si="14"/>
        <v>913</v>
      </c>
      <c r="F184" s="2">
        <f t="shared" si="18"/>
        <v>67.906594503598825</v>
      </c>
      <c r="G184">
        <f t="shared" si="15"/>
        <v>1278</v>
      </c>
      <c r="H184" s="2">
        <f t="shared" si="16"/>
        <v>67.906594503598825</v>
      </c>
    </row>
    <row r="185" spans="1:8" x14ac:dyDescent="0.2">
      <c r="A185">
        <v>184</v>
      </c>
      <c r="B185">
        <v>64</v>
      </c>
      <c r="C185">
        <v>549</v>
      </c>
      <c r="D185">
        <v>98</v>
      </c>
      <c r="E185">
        <f t="shared" si="14"/>
        <v>914</v>
      </c>
      <c r="F185" s="2">
        <f t="shared" si="18"/>
        <v>67.906594503598825</v>
      </c>
      <c r="G185">
        <f t="shared" si="15"/>
        <v>1279</v>
      </c>
      <c r="H185" s="2">
        <f t="shared" si="16"/>
        <v>67.906594503598825</v>
      </c>
    </row>
    <row r="186" spans="1:8" x14ac:dyDescent="0.2">
      <c r="A186">
        <v>185</v>
      </c>
      <c r="B186">
        <v>58</v>
      </c>
      <c r="C186">
        <v>550</v>
      </c>
      <c r="D186">
        <v>89</v>
      </c>
      <c r="E186">
        <f t="shared" si="14"/>
        <v>915</v>
      </c>
      <c r="F186" s="2">
        <f t="shared" si="18"/>
        <v>67.906594503598825</v>
      </c>
      <c r="G186">
        <f t="shared" si="15"/>
        <v>1280</v>
      </c>
      <c r="H186" s="2">
        <f t="shared" si="16"/>
        <v>67.906594503598825</v>
      </c>
    </row>
    <row r="187" spans="1:8" x14ac:dyDescent="0.2">
      <c r="A187">
        <v>186</v>
      </c>
      <c r="B187">
        <v>80</v>
      </c>
      <c r="C187">
        <v>551</v>
      </c>
      <c r="D187">
        <v>92</v>
      </c>
      <c r="E187">
        <f t="shared" si="14"/>
        <v>916</v>
      </c>
      <c r="F187" s="2">
        <f t="shared" si="18"/>
        <v>67.906594503598825</v>
      </c>
      <c r="G187">
        <f t="shared" si="15"/>
        <v>1281</v>
      </c>
      <c r="H187" s="2">
        <f t="shared" si="16"/>
        <v>67.906594503598825</v>
      </c>
    </row>
    <row r="188" spans="1:8" x14ac:dyDescent="0.2">
      <c r="A188">
        <v>187</v>
      </c>
      <c r="B188">
        <v>96</v>
      </c>
      <c r="C188">
        <v>552</v>
      </c>
      <c r="D188">
        <v>51</v>
      </c>
      <c r="E188">
        <f t="shared" si="14"/>
        <v>917</v>
      </c>
      <c r="F188" s="2">
        <f t="shared" si="18"/>
        <v>67.906594503598825</v>
      </c>
      <c r="G188">
        <f t="shared" si="15"/>
        <v>1282</v>
      </c>
      <c r="H188" s="2">
        <f t="shared" si="16"/>
        <v>67.906594503598825</v>
      </c>
    </row>
    <row r="189" spans="1:8" x14ac:dyDescent="0.2">
      <c r="A189">
        <v>188</v>
      </c>
      <c r="B189">
        <v>60</v>
      </c>
      <c r="C189">
        <v>553</v>
      </c>
      <c r="D189">
        <v>79</v>
      </c>
      <c r="E189">
        <f t="shared" si="14"/>
        <v>918</v>
      </c>
      <c r="F189" s="2">
        <f t="shared" si="18"/>
        <v>67.906594503598825</v>
      </c>
      <c r="G189">
        <f t="shared" si="15"/>
        <v>1283</v>
      </c>
      <c r="H189" s="2">
        <f t="shared" si="16"/>
        <v>67.906594503598825</v>
      </c>
    </row>
    <row r="190" spans="1:8" x14ac:dyDescent="0.2">
      <c r="A190">
        <v>189</v>
      </c>
      <c r="B190">
        <v>100</v>
      </c>
      <c r="C190">
        <v>554</v>
      </c>
      <c r="D190">
        <v>95</v>
      </c>
      <c r="E190">
        <f t="shared" si="14"/>
        <v>919</v>
      </c>
      <c r="F190" s="2">
        <f t="shared" si="18"/>
        <v>67.906594503598825</v>
      </c>
      <c r="G190">
        <f t="shared" si="15"/>
        <v>1284</v>
      </c>
      <c r="H190" s="2">
        <f t="shared" si="16"/>
        <v>67.906594503598825</v>
      </c>
    </row>
    <row r="191" spans="1:8" x14ac:dyDescent="0.2">
      <c r="A191">
        <v>190</v>
      </c>
      <c r="B191">
        <v>74</v>
      </c>
      <c r="C191">
        <v>555</v>
      </c>
      <c r="D191">
        <v>108</v>
      </c>
      <c r="E191">
        <f t="shared" si="14"/>
        <v>920</v>
      </c>
      <c r="F191" s="2">
        <f t="shared" si="18"/>
        <v>67.906594503598825</v>
      </c>
      <c r="G191">
        <f t="shared" si="15"/>
        <v>1285</v>
      </c>
      <c r="H191" s="2">
        <f t="shared" si="16"/>
        <v>67.906594503598825</v>
      </c>
    </row>
    <row r="192" spans="1:8" x14ac:dyDescent="0.2">
      <c r="A192">
        <v>191</v>
      </c>
      <c r="B192">
        <v>44</v>
      </c>
      <c r="C192">
        <v>556</v>
      </c>
      <c r="D192">
        <v>61</v>
      </c>
      <c r="E192">
        <f t="shared" si="14"/>
        <v>921</v>
      </c>
      <c r="F192" s="2">
        <f t="shared" si="18"/>
        <v>67.906594503598825</v>
      </c>
      <c r="G192">
        <f t="shared" si="15"/>
        <v>1286</v>
      </c>
      <c r="H192" s="2">
        <f t="shared" si="16"/>
        <v>67.906594503598825</v>
      </c>
    </row>
    <row r="193" spans="1:8" x14ac:dyDescent="0.2">
      <c r="A193">
        <v>192</v>
      </c>
      <c r="B193">
        <v>77</v>
      </c>
      <c r="C193">
        <v>557</v>
      </c>
      <c r="D193">
        <v>47</v>
      </c>
      <c r="E193">
        <f t="shared" si="14"/>
        <v>922</v>
      </c>
      <c r="F193" s="2">
        <f t="shared" si="18"/>
        <v>67.906594503598825</v>
      </c>
      <c r="G193">
        <f t="shared" si="15"/>
        <v>1287</v>
      </c>
      <c r="H193" s="2">
        <f t="shared" si="16"/>
        <v>67.906594503598825</v>
      </c>
    </row>
    <row r="194" spans="1:8" x14ac:dyDescent="0.2">
      <c r="A194">
        <v>193</v>
      </c>
      <c r="B194">
        <v>99</v>
      </c>
      <c r="C194">
        <v>558</v>
      </c>
      <c r="D194">
        <v>73</v>
      </c>
      <c r="E194">
        <f t="shared" si="14"/>
        <v>923</v>
      </c>
      <c r="F194" s="2">
        <f t="shared" si="18"/>
        <v>67.906594503598825</v>
      </c>
      <c r="G194">
        <f t="shared" si="15"/>
        <v>1288</v>
      </c>
      <c r="H194" s="2">
        <f t="shared" si="16"/>
        <v>67.906594503598825</v>
      </c>
    </row>
    <row r="195" spans="1:8" x14ac:dyDescent="0.2">
      <c r="A195">
        <v>194</v>
      </c>
      <c r="B195">
        <v>109</v>
      </c>
      <c r="C195">
        <v>559</v>
      </c>
      <c r="D195">
        <v>64</v>
      </c>
      <c r="E195">
        <f t="shared" ref="E195:E258" si="19">A195+730</f>
        <v>924</v>
      </c>
      <c r="F195" s="2">
        <f t="shared" si="18"/>
        <v>67.906594503598825</v>
      </c>
      <c r="G195">
        <f t="shared" ref="G195:G258" si="20">C195+730</f>
        <v>1289</v>
      </c>
      <c r="H195" s="2">
        <f t="shared" ref="H195:H258" si="21">F195</f>
        <v>67.906594503598825</v>
      </c>
    </row>
    <row r="196" spans="1:8" x14ac:dyDescent="0.2">
      <c r="A196">
        <v>195</v>
      </c>
      <c r="B196">
        <v>62</v>
      </c>
      <c r="C196">
        <v>560</v>
      </c>
      <c r="D196">
        <v>45</v>
      </c>
      <c r="E196">
        <f t="shared" si="19"/>
        <v>925</v>
      </c>
      <c r="F196" s="2">
        <f t="shared" si="18"/>
        <v>67.906594503598825</v>
      </c>
      <c r="G196">
        <f t="shared" si="20"/>
        <v>1290</v>
      </c>
      <c r="H196" s="2">
        <f t="shared" si="21"/>
        <v>67.906594503598825</v>
      </c>
    </row>
    <row r="197" spans="1:8" x14ac:dyDescent="0.2">
      <c r="A197">
        <v>196</v>
      </c>
      <c r="B197">
        <v>70</v>
      </c>
      <c r="C197">
        <v>561</v>
      </c>
      <c r="D197">
        <v>64</v>
      </c>
      <c r="E197">
        <f t="shared" si="19"/>
        <v>926</v>
      </c>
      <c r="F197" s="2">
        <f t="shared" si="18"/>
        <v>67.906594503598825</v>
      </c>
      <c r="G197">
        <f t="shared" si="20"/>
        <v>1291</v>
      </c>
      <c r="H197" s="2">
        <f t="shared" si="21"/>
        <v>67.906594503598825</v>
      </c>
    </row>
    <row r="198" spans="1:8" x14ac:dyDescent="0.2">
      <c r="A198">
        <v>197</v>
      </c>
      <c r="B198">
        <v>56</v>
      </c>
      <c r="C198">
        <v>562</v>
      </c>
      <c r="D198">
        <v>74</v>
      </c>
      <c r="E198">
        <f t="shared" si="19"/>
        <v>927</v>
      </c>
      <c r="F198" s="2">
        <f t="shared" si="18"/>
        <v>67.906594503598825</v>
      </c>
      <c r="G198">
        <f t="shared" si="20"/>
        <v>1292</v>
      </c>
      <c r="H198" s="2">
        <f t="shared" si="21"/>
        <v>67.906594503598825</v>
      </c>
    </row>
    <row r="199" spans="1:8" x14ac:dyDescent="0.2">
      <c r="A199">
        <v>198</v>
      </c>
      <c r="B199">
        <v>74</v>
      </c>
      <c r="C199">
        <v>563</v>
      </c>
      <c r="D199">
        <v>75</v>
      </c>
      <c r="E199">
        <f t="shared" si="19"/>
        <v>928</v>
      </c>
      <c r="F199" s="2">
        <f t="shared" si="18"/>
        <v>67.906594503598825</v>
      </c>
      <c r="G199">
        <f t="shared" si="20"/>
        <v>1293</v>
      </c>
      <c r="H199" s="2">
        <f t="shared" si="21"/>
        <v>67.906594503598825</v>
      </c>
    </row>
    <row r="200" spans="1:8" x14ac:dyDescent="0.2">
      <c r="A200">
        <v>199</v>
      </c>
      <c r="B200">
        <v>60</v>
      </c>
      <c r="C200">
        <v>564</v>
      </c>
      <c r="D200">
        <v>59</v>
      </c>
      <c r="E200">
        <f t="shared" si="19"/>
        <v>929</v>
      </c>
      <c r="F200" s="2">
        <f t="shared" si="18"/>
        <v>67.906594503598825</v>
      </c>
      <c r="G200">
        <f t="shared" si="20"/>
        <v>1294</v>
      </c>
      <c r="H200" s="2">
        <f t="shared" si="21"/>
        <v>67.906594503598825</v>
      </c>
    </row>
    <row r="201" spans="1:8" x14ac:dyDescent="0.2">
      <c r="A201">
        <v>200</v>
      </c>
      <c r="B201">
        <v>36</v>
      </c>
      <c r="C201">
        <v>565</v>
      </c>
      <c r="D201">
        <v>52</v>
      </c>
      <c r="E201">
        <f t="shared" si="19"/>
        <v>930</v>
      </c>
      <c r="F201" s="2">
        <f t="shared" si="18"/>
        <v>67.906594503598825</v>
      </c>
      <c r="G201">
        <f t="shared" si="20"/>
        <v>1295</v>
      </c>
      <c r="H201" s="2">
        <f t="shared" si="21"/>
        <v>67.906594503598825</v>
      </c>
    </row>
    <row r="202" spans="1:8" x14ac:dyDescent="0.2">
      <c r="A202">
        <v>201</v>
      </c>
      <c r="B202">
        <v>72</v>
      </c>
      <c r="C202">
        <v>566</v>
      </c>
      <c r="D202">
        <v>71</v>
      </c>
      <c r="E202">
        <f t="shared" si="19"/>
        <v>931</v>
      </c>
      <c r="F202" s="2">
        <f t="shared" si="18"/>
        <v>67.906594503598825</v>
      </c>
      <c r="G202">
        <f t="shared" si="20"/>
        <v>1296</v>
      </c>
      <c r="H202" s="2">
        <f t="shared" si="21"/>
        <v>67.906594503598825</v>
      </c>
    </row>
    <row r="203" spans="1:8" x14ac:dyDescent="0.2">
      <c r="A203">
        <v>202</v>
      </c>
      <c r="B203">
        <v>78</v>
      </c>
      <c r="C203">
        <v>567</v>
      </c>
      <c r="D203">
        <v>44</v>
      </c>
      <c r="E203">
        <f t="shared" si="19"/>
        <v>932</v>
      </c>
      <c r="F203" s="2">
        <f t="shared" si="18"/>
        <v>67.906594503598825</v>
      </c>
      <c r="G203">
        <f t="shared" si="20"/>
        <v>1297</v>
      </c>
      <c r="H203" s="2">
        <f t="shared" si="21"/>
        <v>67.906594503598825</v>
      </c>
    </row>
    <row r="204" spans="1:8" x14ac:dyDescent="0.2">
      <c r="A204">
        <v>203</v>
      </c>
      <c r="B204">
        <v>62</v>
      </c>
      <c r="C204">
        <v>568</v>
      </c>
      <c r="D204">
        <v>59</v>
      </c>
      <c r="E204">
        <f t="shared" si="19"/>
        <v>933</v>
      </c>
      <c r="F204" s="2">
        <f t="shared" si="18"/>
        <v>67.906594503598825</v>
      </c>
      <c r="G204">
        <f t="shared" si="20"/>
        <v>1298</v>
      </c>
      <c r="H204" s="2">
        <f t="shared" si="21"/>
        <v>67.906594503598825</v>
      </c>
    </row>
    <row r="205" spans="1:8" x14ac:dyDescent="0.2">
      <c r="A205">
        <v>204</v>
      </c>
      <c r="B205">
        <v>84</v>
      </c>
      <c r="C205">
        <v>569</v>
      </c>
      <c r="D205">
        <v>48</v>
      </c>
      <c r="E205">
        <f t="shared" si="19"/>
        <v>934</v>
      </c>
      <c r="F205" s="2">
        <f t="shared" si="18"/>
        <v>67.906594503598825</v>
      </c>
      <c r="G205">
        <f t="shared" si="20"/>
        <v>1299</v>
      </c>
      <c r="H205" s="2">
        <f t="shared" si="21"/>
        <v>67.906594503598825</v>
      </c>
    </row>
    <row r="206" spans="1:8" x14ac:dyDescent="0.2">
      <c r="A206">
        <v>205</v>
      </c>
      <c r="B206">
        <v>81</v>
      </c>
      <c r="C206">
        <v>570</v>
      </c>
      <c r="D206">
        <v>76</v>
      </c>
      <c r="E206">
        <f t="shared" si="19"/>
        <v>935</v>
      </c>
      <c r="F206" s="2">
        <f t="shared" si="18"/>
        <v>67.906594503598825</v>
      </c>
      <c r="G206">
        <f t="shared" si="20"/>
        <v>1300</v>
      </c>
      <c r="H206" s="2">
        <f t="shared" si="21"/>
        <v>67.906594503598825</v>
      </c>
    </row>
    <row r="207" spans="1:8" x14ac:dyDescent="0.2">
      <c r="A207">
        <v>206</v>
      </c>
      <c r="B207">
        <v>67</v>
      </c>
      <c r="C207">
        <v>571</v>
      </c>
      <c r="D207">
        <v>62</v>
      </c>
      <c r="E207">
        <f t="shared" si="19"/>
        <v>936</v>
      </c>
      <c r="F207" s="2">
        <f t="shared" si="18"/>
        <v>67.906594503598825</v>
      </c>
      <c r="G207">
        <f t="shared" si="20"/>
        <v>1301</v>
      </c>
      <c r="H207" s="2">
        <f t="shared" si="21"/>
        <v>67.906594503598825</v>
      </c>
    </row>
    <row r="208" spans="1:8" x14ac:dyDescent="0.2">
      <c r="A208">
        <v>207</v>
      </c>
      <c r="B208">
        <v>92</v>
      </c>
      <c r="C208">
        <v>572</v>
      </c>
      <c r="D208">
        <v>41</v>
      </c>
      <c r="E208">
        <f t="shared" si="19"/>
        <v>937</v>
      </c>
      <c r="F208" s="2">
        <f t="shared" si="18"/>
        <v>67.906594503598825</v>
      </c>
      <c r="G208">
        <f t="shared" si="20"/>
        <v>1302</v>
      </c>
      <c r="H208" s="2">
        <f t="shared" si="21"/>
        <v>67.906594503598825</v>
      </c>
    </row>
    <row r="209" spans="1:8" x14ac:dyDescent="0.2">
      <c r="A209">
        <v>208</v>
      </c>
      <c r="B209">
        <v>110</v>
      </c>
      <c r="C209">
        <v>573</v>
      </c>
      <c r="D209">
        <v>49</v>
      </c>
      <c r="E209">
        <f t="shared" si="19"/>
        <v>938</v>
      </c>
      <c r="F209" s="2">
        <f t="shared" si="18"/>
        <v>67.906594503598825</v>
      </c>
      <c r="G209">
        <f t="shared" si="20"/>
        <v>1303</v>
      </c>
      <c r="H209" s="2">
        <f t="shared" si="21"/>
        <v>67.906594503598825</v>
      </c>
    </row>
    <row r="210" spans="1:8" x14ac:dyDescent="0.2">
      <c r="A210">
        <v>209</v>
      </c>
      <c r="B210">
        <v>41</v>
      </c>
      <c r="C210">
        <v>574</v>
      </c>
      <c r="D210">
        <v>72</v>
      </c>
      <c r="E210">
        <f t="shared" si="19"/>
        <v>939</v>
      </c>
      <c r="F210" s="2">
        <f t="shared" si="18"/>
        <v>67.906594503598825</v>
      </c>
      <c r="G210">
        <f t="shared" si="20"/>
        <v>1304</v>
      </c>
      <c r="H210" s="2">
        <f t="shared" si="21"/>
        <v>67.906594503598825</v>
      </c>
    </row>
    <row r="211" spans="1:8" x14ac:dyDescent="0.2">
      <c r="A211">
        <v>210</v>
      </c>
      <c r="B211">
        <v>57</v>
      </c>
      <c r="C211">
        <v>575</v>
      </c>
      <c r="D211">
        <v>81</v>
      </c>
      <c r="E211">
        <f t="shared" si="19"/>
        <v>940</v>
      </c>
      <c r="F211" s="2">
        <f t="shared" si="18"/>
        <v>67.906594503598825</v>
      </c>
      <c r="G211">
        <f t="shared" si="20"/>
        <v>1305</v>
      </c>
      <c r="H211" s="2">
        <f t="shared" si="21"/>
        <v>67.906594503598825</v>
      </c>
    </row>
    <row r="212" spans="1:8" x14ac:dyDescent="0.2">
      <c r="A212">
        <v>211</v>
      </c>
      <c r="B212">
        <v>52</v>
      </c>
      <c r="C212">
        <v>576</v>
      </c>
      <c r="D212">
        <v>101</v>
      </c>
      <c r="E212">
        <f t="shared" si="19"/>
        <v>941</v>
      </c>
      <c r="F212" s="2">
        <f t="shared" si="18"/>
        <v>67.906594503598825</v>
      </c>
      <c r="G212">
        <f t="shared" si="20"/>
        <v>1306</v>
      </c>
      <c r="H212" s="2">
        <f t="shared" si="21"/>
        <v>67.906594503598825</v>
      </c>
    </row>
    <row r="213" spans="1:8" x14ac:dyDescent="0.2">
      <c r="A213">
        <v>212</v>
      </c>
      <c r="B213">
        <v>96</v>
      </c>
      <c r="C213">
        <v>577</v>
      </c>
      <c r="D213">
        <v>103</v>
      </c>
      <c r="E213">
        <f t="shared" si="19"/>
        <v>942</v>
      </c>
      <c r="F213" s="2">
        <f t="shared" ref="F213:F220" si="22">$P$20</f>
        <v>67.906594503598825</v>
      </c>
      <c r="G213">
        <f t="shared" si="20"/>
        <v>1307</v>
      </c>
      <c r="H213" s="2">
        <f t="shared" si="21"/>
        <v>67.906594503598825</v>
      </c>
    </row>
    <row r="214" spans="1:8" x14ac:dyDescent="0.2">
      <c r="A214">
        <v>213</v>
      </c>
      <c r="B214">
        <v>65</v>
      </c>
      <c r="C214">
        <v>578</v>
      </c>
      <c r="D214">
        <v>35</v>
      </c>
      <c r="E214">
        <f t="shared" si="19"/>
        <v>943</v>
      </c>
      <c r="F214" s="2">
        <f t="shared" si="22"/>
        <v>67.906594503598825</v>
      </c>
      <c r="G214">
        <f t="shared" si="20"/>
        <v>1308</v>
      </c>
      <c r="H214" s="2">
        <f t="shared" si="21"/>
        <v>67.906594503598825</v>
      </c>
    </row>
    <row r="215" spans="1:8" x14ac:dyDescent="0.2">
      <c r="A215">
        <v>214</v>
      </c>
      <c r="B215">
        <v>88</v>
      </c>
      <c r="C215">
        <v>579</v>
      </c>
      <c r="D215">
        <v>96</v>
      </c>
      <c r="E215">
        <f t="shared" si="19"/>
        <v>944</v>
      </c>
      <c r="F215" s="2">
        <f t="shared" si="22"/>
        <v>67.906594503598825</v>
      </c>
      <c r="G215">
        <f t="shared" si="20"/>
        <v>1309</v>
      </c>
      <c r="H215" s="2">
        <f t="shared" si="21"/>
        <v>67.906594503598825</v>
      </c>
    </row>
    <row r="216" spans="1:8" x14ac:dyDescent="0.2">
      <c r="A216">
        <v>215</v>
      </c>
      <c r="B216">
        <v>44</v>
      </c>
      <c r="C216">
        <v>580</v>
      </c>
      <c r="D216">
        <v>77</v>
      </c>
      <c r="E216">
        <f t="shared" si="19"/>
        <v>945</v>
      </c>
      <c r="F216" s="2">
        <f t="shared" si="22"/>
        <v>67.906594503598825</v>
      </c>
      <c r="G216">
        <f t="shared" si="20"/>
        <v>1310</v>
      </c>
      <c r="H216" s="2">
        <f t="shared" si="21"/>
        <v>67.906594503598825</v>
      </c>
    </row>
    <row r="217" spans="1:8" x14ac:dyDescent="0.2">
      <c r="A217">
        <v>216</v>
      </c>
      <c r="B217">
        <v>65</v>
      </c>
      <c r="C217">
        <v>581</v>
      </c>
      <c r="D217">
        <v>57</v>
      </c>
      <c r="E217">
        <f t="shared" si="19"/>
        <v>946</v>
      </c>
      <c r="F217" s="2">
        <f t="shared" si="22"/>
        <v>67.906594503598825</v>
      </c>
      <c r="G217">
        <f t="shared" si="20"/>
        <v>1311</v>
      </c>
      <c r="H217" s="2">
        <f t="shared" si="21"/>
        <v>67.906594503598825</v>
      </c>
    </row>
    <row r="218" spans="1:8" x14ac:dyDescent="0.2">
      <c r="A218">
        <v>217</v>
      </c>
      <c r="B218">
        <v>76</v>
      </c>
      <c r="C218">
        <v>582</v>
      </c>
      <c r="D218">
        <v>81</v>
      </c>
      <c r="E218">
        <f t="shared" si="19"/>
        <v>947</v>
      </c>
      <c r="F218" s="2">
        <f t="shared" si="22"/>
        <v>67.906594503598825</v>
      </c>
      <c r="G218">
        <f t="shared" si="20"/>
        <v>1312</v>
      </c>
      <c r="H218" s="2">
        <f t="shared" si="21"/>
        <v>67.906594503598825</v>
      </c>
    </row>
    <row r="219" spans="1:8" x14ac:dyDescent="0.2">
      <c r="A219">
        <v>218</v>
      </c>
      <c r="B219">
        <v>73</v>
      </c>
      <c r="C219">
        <v>583</v>
      </c>
      <c r="D219">
        <v>74</v>
      </c>
      <c r="E219">
        <f t="shared" si="19"/>
        <v>948</v>
      </c>
      <c r="F219" s="2">
        <f t="shared" si="22"/>
        <v>67.906594503598825</v>
      </c>
      <c r="G219">
        <f t="shared" si="20"/>
        <v>1313</v>
      </c>
      <c r="H219" s="2">
        <f t="shared" si="21"/>
        <v>67.906594503598825</v>
      </c>
    </row>
    <row r="220" spans="1:8" x14ac:dyDescent="0.2">
      <c r="A220">
        <v>219</v>
      </c>
      <c r="B220">
        <v>64</v>
      </c>
      <c r="C220">
        <v>584</v>
      </c>
      <c r="D220">
        <v>52</v>
      </c>
      <c r="E220">
        <f t="shared" si="19"/>
        <v>949</v>
      </c>
      <c r="F220" s="2">
        <f t="shared" si="22"/>
        <v>67.906594503598825</v>
      </c>
      <c r="G220">
        <f t="shared" si="20"/>
        <v>1314</v>
      </c>
      <c r="H220" s="2">
        <f t="shared" si="21"/>
        <v>67.906594503598825</v>
      </c>
    </row>
    <row r="221" spans="1:8" x14ac:dyDescent="0.2">
      <c r="A221">
        <v>220</v>
      </c>
      <c r="B221">
        <v>40</v>
      </c>
      <c r="C221">
        <v>585</v>
      </c>
      <c r="D221">
        <v>73</v>
      </c>
      <c r="E221">
        <f t="shared" si="19"/>
        <v>950</v>
      </c>
      <c r="F221" s="2">
        <f>$P$21</f>
        <v>48.252086681863425</v>
      </c>
      <c r="G221">
        <f t="shared" si="20"/>
        <v>1315</v>
      </c>
      <c r="H221" s="2">
        <f t="shared" si="21"/>
        <v>48.252086681863425</v>
      </c>
    </row>
    <row r="222" spans="1:8" x14ac:dyDescent="0.2">
      <c r="A222">
        <v>221</v>
      </c>
      <c r="B222">
        <v>64</v>
      </c>
      <c r="C222">
        <v>586</v>
      </c>
      <c r="D222">
        <v>58</v>
      </c>
      <c r="E222">
        <f t="shared" si="19"/>
        <v>951</v>
      </c>
      <c r="F222" s="2">
        <f t="shared" ref="F222:F285" si="23">$P$21</f>
        <v>48.252086681863425</v>
      </c>
      <c r="G222">
        <f t="shared" si="20"/>
        <v>1316</v>
      </c>
      <c r="H222" s="2">
        <f t="shared" si="21"/>
        <v>48.252086681863425</v>
      </c>
    </row>
    <row r="223" spans="1:8" x14ac:dyDescent="0.2">
      <c r="A223">
        <v>222</v>
      </c>
      <c r="B223">
        <v>56</v>
      </c>
      <c r="C223">
        <v>587</v>
      </c>
      <c r="D223">
        <v>93</v>
      </c>
      <c r="E223">
        <f t="shared" si="19"/>
        <v>952</v>
      </c>
      <c r="F223" s="2">
        <f t="shared" si="23"/>
        <v>48.252086681863425</v>
      </c>
      <c r="G223">
        <f t="shared" si="20"/>
        <v>1317</v>
      </c>
      <c r="H223" s="2">
        <f t="shared" si="21"/>
        <v>48.252086681863425</v>
      </c>
    </row>
    <row r="224" spans="1:8" x14ac:dyDescent="0.2">
      <c r="A224">
        <v>223</v>
      </c>
      <c r="B224">
        <v>78</v>
      </c>
      <c r="C224">
        <v>588</v>
      </c>
      <c r="D224">
        <v>33</v>
      </c>
      <c r="E224">
        <f t="shared" si="19"/>
        <v>953</v>
      </c>
      <c r="F224" s="2">
        <f t="shared" si="23"/>
        <v>48.252086681863425</v>
      </c>
      <c r="G224">
        <f t="shared" si="20"/>
        <v>1318</v>
      </c>
      <c r="H224" s="2">
        <f t="shared" si="21"/>
        <v>48.252086681863425</v>
      </c>
    </row>
    <row r="225" spans="1:8" x14ac:dyDescent="0.2">
      <c r="A225">
        <v>224</v>
      </c>
      <c r="B225">
        <v>43</v>
      </c>
      <c r="C225">
        <v>589</v>
      </c>
      <c r="D225">
        <v>42</v>
      </c>
      <c r="E225">
        <f t="shared" si="19"/>
        <v>954</v>
      </c>
      <c r="F225" s="2">
        <f t="shared" si="23"/>
        <v>48.252086681863425</v>
      </c>
      <c r="G225">
        <f t="shared" si="20"/>
        <v>1319</v>
      </c>
      <c r="H225" s="2">
        <f t="shared" si="21"/>
        <v>48.252086681863425</v>
      </c>
    </row>
    <row r="226" spans="1:8" x14ac:dyDescent="0.2">
      <c r="A226">
        <v>225</v>
      </c>
      <c r="B226">
        <v>78</v>
      </c>
      <c r="C226">
        <v>590</v>
      </c>
      <c r="D226">
        <v>59</v>
      </c>
      <c r="E226">
        <f t="shared" si="19"/>
        <v>955</v>
      </c>
      <c r="F226" s="2">
        <f t="shared" si="23"/>
        <v>48.252086681863425</v>
      </c>
      <c r="G226">
        <f t="shared" si="20"/>
        <v>1320</v>
      </c>
      <c r="H226" s="2">
        <f t="shared" si="21"/>
        <v>48.252086681863425</v>
      </c>
    </row>
    <row r="227" spans="1:8" x14ac:dyDescent="0.2">
      <c r="A227">
        <v>226</v>
      </c>
      <c r="B227">
        <v>64</v>
      </c>
      <c r="C227">
        <v>591</v>
      </c>
      <c r="D227">
        <v>75</v>
      </c>
      <c r="E227">
        <f t="shared" si="19"/>
        <v>956</v>
      </c>
      <c r="F227" s="2">
        <f t="shared" si="23"/>
        <v>48.252086681863425</v>
      </c>
      <c r="G227">
        <f t="shared" si="20"/>
        <v>1321</v>
      </c>
      <c r="H227" s="2">
        <f t="shared" si="21"/>
        <v>48.252086681863425</v>
      </c>
    </row>
    <row r="228" spans="1:8" x14ac:dyDescent="0.2">
      <c r="A228">
        <v>227</v>
      </c>
      <c r="B228">
        <v>67</v>
      </c>
      <c r="C228">
        <v>592</v>
      </c>
      <c r="D228">
        <v>34</v>
      </c>
      <c r="E228">
        <f t="shared" si="19"/>
        <v>957</v>
      </c>
      <c r="F228" s="2">
        <f t="shared" si="23"/>
        <v>48.252086681863425</v>
      </c>
      <c r="G228">
        <f t="shared" si="20"/>
        <v>1322</v>
      </c>
      <c r="H228" s="2">
        <f t="shared" si="21"/>
        <v>48.252086681863425</v>
      </c>
    </row>
    <row r="229" spans="1:8" x14ac:dyDescent="0.2">
      <c r="A229">
        <v>228</v>
      </c>
      <c r="B229">
        <v>80</v>
      </c>
      <c r="C229">
        <v>593</v>
      </c>
      <c r="D229">
        <v>77</v>
      </c>
      <c r="E229">
        <f t="shared" si="19"/>
        <v>958</v>
      </c>
      <c r="F229" s="2">
        <f t="shared" si="23"/>
        <v>48.252086681863425</v>
      </c>
      <c r="G229">
        <f t="shared" si="20"/>
        <v>1323</v>
      </c>
      <c r="H229" s="2">
        <f t="shared" si="21"/>
        <v>48.252086681863425</v>
      </c>
    </row>
    <row r="230" spans="1:8" x14ac:dyDescent="0.2">
      <c r="A230">
        <v>229</v>
      </c>
      <c r="B230">
        <v>40</v>
      </c>
      <c r="C230">
        <v>594</v>
      </c>
      <c r="D230">
        <v>64</v>
      </c>
      <c r="E230">
        <f t="shared" si="19"/>
        <v>959</v>
      </c>
      <c r="F230" s="2">
        <f t="shared" si="23"/>
        <v>48.252086681863425</v>
      </c>
      <c r="G230">
        <f t="shared" si="20"/>
        <v>1324</v>
      </c>
      <c r="H230" s="2">
        <f t="shared" si="21"/>
        <v>48.252086681863425</v>
      </c>
    </row>
    <row r="231" spans="1:8" x14ac:dyDescent="0.2">
      <c r="A231">
        <v>230</v>
      </c>
      <c r="B231">
        <v>71</v>
      </c>
      <c r="C231">
        <v>595</v>
      </c>
      <c r="D231">
        <v>57</v>
      </c>
      <c r="E231">
        <f t="shared" si="19"/>
        <v>960</v>
      </c>
      <c r="F231" s="2">
        <f t="shared" si="23"/>
        <v>48.252086681863425</v>
      </c>
      <c r="G231">
        <f t="shared" si="20"/>
        <v>1325</v>
      </c>
      <c r="H231" s="2">
        <f t="shared" si="21"/>
        <v>48.252086681863425</v>
      </c>
    </row>
    <row r="232" spans="1:8" x14ac:dyDescent="0.2">
      <c r="A232">
        <v>231</v>
      </c>
      <c r="B232">
        <v>84</v>
      </c>
      <c r="C232">
        <v>596</v>
      </c>
      <c r="D232">
        <v>91</v>
      </c>
      <c r="E232">
        <f t="shared" si="19"/>
        <v>961</v>
      </c>
      <c r="F232" s="2">
        <f t="shared" si="23"/>
        <v>48.252086681863425</v>
      </c>
      <c r="G232">
        <f t="shared" si="20"/>
        <v>1326</v>
      </c>
      <c r="H232" s="2">
        <f t="shared" si="21"/>
        <v>48.252086681863425</v>
      </c>
    </row>
    <row r="233" spans="1:8" x14ac:dyDescent="0.2">
      <c r="A233">
        <v>232</v>
      </c>
      <c r="B233">
        <v>29</v>
      </c>
      <c r="C233">
        <v>597</v>
      </c>
      <c r="D233">
        <v>74</v>
      </c>
      <c r="E233">
        <f t="shared" si="19"/>
        <v>962</v>
      </c>
      <c r="F233" s="2">
        <f t="shared" si="23"/>
        <v>48.252086681863425</v>
      </c>
      <c r="G233">
        <f t="shared" si="20"/>
        <v>1327</v>
      </c>
      <c r="H233" s="2">
        <f t="shared" si="21"/>
        <v>48.252086681863425</v>
      </c>
    </row>
    <row r="234" spans="1:8" x14ac:dyDescent="0.2">
      <c r="A234">
        <v>233</v>
      </c>
      <c r="B234">
        <v>53</v>
      </c>
      <c r="C234">
        <v>598</v>
      </c>
      <c r="D234">
        <v>84</v>
      </c>
      <c r="E234">
        <f t="shared" si="19"/>
        <v>963</v>
      </c>
      <c r="F234" s="2">
        <f t="shared" si="23"/>
        <v>48.252086681863425</v>
      </c>
      <c r="G234">
        <f t="shared" si="20"/>
        <v>1328</v>
      </c>
      <c r="H234" s="2">
        <f t="shared" si="21"/>
        <v>48.252086681863425</v>
      </c>
    </row>
    <row r="235" spans="1:8" x14ac:dyDescent="0.2">
      <c r="A235">
        <v>234</v>
      </c>
      <c r="B235">
        <v>72</v>
      </c>
      <c r="C235">
        <v>599</v>
      </c>
      <c r="D235">
        <v>30</v>
      </c>
      <c r="E235">
        <f t="shared" si="19"/>
        <v>964</v>
      </c>
      <c r="F235" s="2">
        <f t="shared" si="23"/>
        <v>48.252086681863425</v>
      </c>
      <c r="G235">
        <f t="shared" si="20"/>
        <v>1329</v>
      </c>
      <c r="H235" s="2">
        <f t="shared" si="21"/>
        <v>48.252086681863425</v>
      </c>
    </row>
    <row r="236" spans="1:8" x14ac:dyDescent="0.2">
      <c r="A236">
        <v>235</v>
      </c>
      <c r="B236">
        <v>39</v>
      </c>
      <c r="C236">
        <v>600</v>
      </c>
      <c r="D236">
        <v>35</v>
      </c>
      <c r="E236">
        <f t="shared" si="19"/>
        <v>965</v>
      </c>
      <c r="F236" s="2">
        <f t="shared" si="23"/>
        <v>48.252086681863425</v>
      </c>
      <c r="G236">
        <f t="shared" si="20"/>
        <v>1330</v>
      </c>
      <c r="H236" s="2">
        <f t="shared" si="21"/>
        <v>48.252086681863425</v>
      </c>
    </row>
    <row r="237" spans="1:8" x14ac:dyDescent="0.2">
      <c r="A237">
        <v>236</v>
      </c>
      <c r="B237">
        <v>63</v>
      </c>
      <c r="C237">
        <v>601</v>
      </c>
      <c r="D237">
        <v>45</v>
      </c>
      <c r="E237">
        <f t="shared" si="19"/>
        <v>966</v>
      </c>
      <c r="F237" s="2">
        <f t="shared" si="23"/>
        <v>48.252086681863425</v>
      </c>
      <c r="G237">
        <f t="shared" si="20"/>
        <v>1331</v>
      </c>
      <c r="H237" s="2">
        <f t="shared" si="21"/>
        <v>48.252086681863425</v>
      </c>
    </row>
    <row r="238" spans="1:8" x14ac:dyDescent="0.2">
      <c r="A238">
        <v>237</v>
      </c>
      <c r="B238">
        <v>83</v>
      </c>
      <c r="C238">
        <v>602</v>
      </c>
      <c r="D238">
        <v>55</v>
      </c>
      <c r="E238">
        <f t="shared" si="19"/>
        <v>967</v>
      </c>
      <c r="F238" s="2">
        <f t="shared" si="23"/>
        <v>48.252086681863425</v>
      </c>
      <c r="G238">
        <f t="shared" si="20"/>
        <v>1332</v>
      </c>
      <c r="H238" s="2">
        <f t="shared" si="21"/>
        <v>48.252086681863425</v>
      </c>
    </row>
    <row r="239" spans="1:8" x14ac:dyDescent="0.2">
      <c r="A239">
        <v>238</v>
      </c>
      <c r="B239">
        <v>31</v>
      </c>
      <c r="C239">
        <v>603</v>
      </c>
      <c r="D239">
        <v>53</v>
      </c>
      <c r="E239">
        <f t="shared" si="19"/>
        <v>968</v>
      </c>
      <c r="F239" s="2">
        <f t="shared" si="23"/>
        <v>48.252086681863425</v>
      </c>
      <c r="G239">
        <f t="shared" si="20"/>
        <v>1333</v>
      </c>
      <c r="H239" s="2">
        <f t="shared" si="21"/>
        <v>48.252086681863425</v>
      </c>
    </row>
    <row r="240" spans="1:8" x14ac:dyDescent="0.2">
      <c r="A240">
        <v>239</v>
      </c>
      <c r="B240">
        <v>57</v>
      </c>
      <c r="C240">
        <v>604</v>
      </c>
      <c r="D240">
        <v>64</v>
      </c>
      <c r="E240">
        <f t="shared" si="19"/>
        <v>969</v>
      </c>
      <c r="F240" s="2">
        <f t="shared" si="23"/>
        <v>48.252086681863425</v>
      </c>
      <c r="G240">
        <f t="shared" si="20"/>
        <v>1334</v>
      </c>
      <c r="H240" s="2">
        <f t="shared" si="21"/>
        <v>48.252086681863425</v>
      </c>
    </row>
    <row r="241" spans="1:8" x14ac:dyDescent="0.2">
      <c r="A241">
        <v>240</v>
      </c>
      <c r="B241">
        <v>44</v>
      </c>
      <c r="C241">
        <v>605</v>
      </c>
      <c r="D241">
        <v>56</v>
      </c>
      <c r="E241">
        <f t="shared" si="19"/>
        <v>970</v>
      </c>
      <c r="F241" s="2">
        <f t="shared" si="23"/>
        <v>48.252086681863425</v>
      </c>
      <c r="G241">
        <f t="shared" si="20"/>
        <v>1335</v>
      </c>
      <c r="H241" s="2">
        <f t="shared" si="21"/>
        <v>48.252086681863425</v>
      </c>
    </row>
    <row r="242" spans="1:8" x14ac:dyDescent="0.2">
      <c r="A242">
        <v>241</v>
      </c>
      <c r="B242">
        <v>34</v>
      </c>
      <c r="C242">
        <v>606</v>
      </c>
      <c r="D242">
        <v>75</v>
      </c>
      <c r="E242">
        <f t="shared" si="19"/>
        <v>971</v>
      </c>
      <c r="F242" s="2">
        <f t="shared" si="23"/>
        <v>48.252086681863425</v>
      </c>
      <c r="G242">
        <f t="shared" si="20"/>
        <v>1336</v>
      </c>
      <c r="H242" s="2">
        <f t="shared" si="21"/>
        <v>48.252086681863425</v>
      </c>
    </row>
    <row r="243" spans="1:8" x14ac:dyDescent="0.2">
      <c r="A243">
        <v>242</v>
      </c>
      <c r="B243">
        <v>97</v>
      </c>
      <c r="C243">
        <v>607</v>
      </c>
      <c r="D243">
        <v>80</v>
      </c>
      <c r="E243">
        <f t="shared" si="19"/>
        <v>972</v>
      </c>
      <c r="F243" s="2">
        <f t="shared" si="23"/>
        <v>48.252086681863425</v>
      </c>
      <c r="G243">
        <f t="shared" si="20"/>
        <v>1337</v>
      </c>
      <c r="H243" s="2">
        <f t="shared" si="21"/>
        <v>48.252086681863425</v>
      </c>
    </row>
    <row r="244" spans="1:8" x14ac:dyDescent="0.2">
      <c r="A244">
        <v>243</v>
      </c>
      <c r="B244">
        <v>30</v>
      </c>
      <c r="C244">
        <v>608</v>
      </c>
      <c r="D244">
        <v>30</v>
      </c>
      <c r="E244">
        <f t="shared" si="19"/>
        <v>973</v>
      </c>
      <c r="F244" s="2">
        <f t="shared" si="23"/>
        <v>48.252086681863425</v>
      </c>
      <c r="G244">
        <f t="shared" si="20"/>
        <v>1338</v>
      </c>
      <c r="H244" s="2">
        <f t="shared" si="21"/>
        <v>48.252086681863425</v>
      </c>
    </row>
    <row r="245" spans="1:8" x14ac:dyDescent="0.2">
      <c r="A245">
        <v>244</v>
      </c>
      <c r="B245">
        <v>42</v>
      </c>
      <c r="C245">
        <v>609</v>
      </c>
      <c r="D245">
        <v>60</v>
      </c>
      <c r="E245">
        <f t="shared" si="19"/>
        <v>974</v>
      </c>
      <c r="F245" s="2">
        <f t="shared" si="23"/>
        <v>48.252086681863425</v>
      </c>
      <c r="G245">
        <f t="shared" si="20"/>
        <v>1339</v>
      </c>
      <c r="H245" s="2">
        <f t="shared" si="21"/>
        <v>48.252086681863425</v>
      </c>
    </row>
    <row r="246" spans="1:8" x14ac:dyDescent="0.2">
      <c r="A246">
        <v>245</v>
      </c>
      <c r="B246">
        <v>83</v>
      </c>
      <c r="C246">
        <v>610</v>
      </c>
      <c r="D246">
        <v>71</v>
      </c>
      <c r="E246">
        <f t="shared" si="19"/>
        <v>975</v>
      </c>
      <c r="F246" s="2">
        <f t="shared" si="23"/>
        <v>48.252086681863425</v>
      </c>
      <c r="G246">
        <f t="shared" si="20"/>
        <v>1340</v>
      </c>
      <c r="H246" s="2">
        <f t="shared" si="21"/>
        <v>48.252086681863425</v>
      </c>
    </row>
    <row r="247" spans="1:8" x14ac:dyDescent="0.2">
      <c r="A247">
        <v>246</v>
      </c>
      <c r="B247">
        <v>29</v>
      </c>
      <c r="C247">
        <v>611</v>
      </c>
      <c r="D247">
        <v>60</v>
      </c>
      <c r="E247">
        <f t="shared" si="19"/>
        <v>976</v>
      </c>
      <c r="F247" s="2">
        <f t="shared" si="23"/>
        <v>48.252086681863425</v>
      </c>
      <c r="G247">
        <f t="shared" si="20"/>
        <v>1341</v>
      </c>
      <c r="H247" s="2">
        <f t="shared" si="21"/>
        <v>48.252086681863425</v>
      </c>
    </row>
    <row r="248" spans="1:8" x14ac:dyDescent="0.2">
      <c r="A248">
        <v>247</v>
      </c>
      <c r="B248">
        <v>73</v>
      </c>
      <c r="C248">
        <v>612</v>
      </c>
      <c r="D248">
        <v>50</v>
      </c>
      <c r="E248">
        <f t="shared" si="19"/>
        <v>977</v>
      </c>
      <c r="F248" s="2">
        <f t="shared" si="23"/>
        <v>48.252086681863425</v>
      </c>
      <c r="G248">
        <f t="shared" si="20"/>
        <v>1342</v>
      </c>
      <c r="H248" s="2">
        <f t="shared" si="21"/>
        <v>48.252086681863425</v>
      </c>
    </row>
    <row r="249" spans="1:8" x14ac:dyDescent="0.2">
      <c r="A249">
        <v>248</v>
      </c>
      <c r="B249">
        <v>67</v>
      </c>
      <c r="C249">
        <v>613</v>
      </c>
      <c r="D249">
        <v>66</v>
      </c>
      <c r="E249">
        <f t="shared" si="19"/>
        <v>978</v>
      </c>
      <c r="F249" s="2">
        <f t="shared" si="23"/>
        <v>48.252086681863425</v>
      </c>
      <c r="G249">
        <f t="shared" si="20"/>
        <v>1343</v>
      </c>
      <c r="H249" s="2">
        <f t="shared" si="21"/>
        <v>48.252086681863425</v>
      </c>
    </row>
    <row r="250" spans="1:8" x14ac:dyDescent="0.2">
      <c r="A250">
        <v>249</v>
      </c>
      <c r="B250">
        <v>42</v>
      </c>
      <c r="C250">
        <v>614</v>
      </c>
      <c r="D250">
        <v>67</v>
      </c>
      <c r="E250">
        <f t="shared" si="19"/>
        <v>979</v>
      </c>
      <c r="F250" s="2">
        <f t="shared" si="23"/>
        <v>48.252086681863425</v>
      </c>
      <c r="G250">
        <f t="shared" si="20"/>
        <v>1344</v>
      </c>
      <c r="H250" s="2">
        <f t="shared" si="21"/>
        <v>48.252086681863425</v>
      </c>
    </row>
    <row r="251" spans="1:8" x14ac:dyDescent="0.2">
      <c r="A251">
        <v>250</v>
      </c>
      <c r="B251">
        <v>67</v>
      </c>
      <c r="C251">
        <v>615</v>
      </c>
      <c r="D251">
        <v>46</v>
      </c>
      <c r="E251">
        <f t="shared" si="19"/>
        <v>980</v>
      </c>
      <c r="F251" s="2">
        <f t="shared" si="23"/>
        <v>48.252086681863425</v>
      </c>
      <c r="G251">
        <f t="shared" si="20"/>
        <v>1345</v>
      </c>
      <c r="H251" s="2">
        <f t="shared" si="21"/>
        <v>48.252086681863425</v>
      </c>
    </row>
    <row r="252" spans="1:8" x14ac:dyDescent="0.2">
      <c r="A252">
        <v>251</v>
      </c>
      <c r="B252">
        <v>32</v>
      </c>
      <c r="C252">
        <v>616</v>
      </c>
      <c r="D252">
        <v>48</v>
      </c>
      <c r="E252">
        <f t="shared" si="19"/>
        <v>981</v>
      </c>
      <c r="F252" s="2">
        <f t="shared" si="23"/>
        <v>48.252086681863425</v>
      </c>
      <c r="G252">
        <f t="shared" si="20"/>
        <v>1346</v>
      </c>
      <c r="H252" s="2">
        <f t="shared" si="21"/>
        <v>48.252086681863425</v>
      </c>
    </row>
    <row r="253" spans="1:8" x14ac:dyDescent="0.2">
      <c r="A253">
        <v>252</v>
      </c>
      <c r="B253">
        <v>37</v>
      </c>
      <c r="C253">
        <v>617</v>
      </c>
      <c r="D253">
        <v>71</v>
      </c>
      <c r="E253">
        <f t="shared" si="19"/>
        <v>982</v>
      </c>
      <c r="F253" s="2">
        <f t="shared" si="23"/>
        <v>48.252086681863425</v>
      </c>
      <c r="G253">
        <f t="shared" si="20"/>
        <v>1347</v>
      </c>
      <c r="H253" s="2">
        <f t="shared" si="21"/>
        <v>48.252086681863425</v>
      </c>
    </row>
    <row r="254" spans="1:8" x14ac:dyDescent="0.2">
      <c r="A254">
        <v>253</v>
      </c>
      <c r="B254">
        <v>44</v>
      </c>
      <c r="C254">
        <v>618</v>
      </c>
      <c r="D254">
        <v>68</v>
      </c>
      <c r="E254">
        <f t="shared" si="19"/>
        <v>983</v>
      </c>
      <c r="F254" s="2">
        <f t="shared" si="23"/>
        <v>48.252086681863425</v>
      </c>
      <c r="G254">
        <f t="shared" si="20"/>
        <v>1348</v>
      </c>
      <c r="H254" s="2">
        <f t="shared" si="21"/>
        <v>48.252086681863425</v>
      </c>
    </row>
    <row r="255" spans="1:8" x14ac:dyDescent="0.2">
      <c r="A255">
        <v>254</v>
      </c>
      <c r="B255">
        <v>58</v>
      </c>
      <c r="C255">
        <v>619</v>
      </c>
      <c r="D255">
        <v>22</v>
      </c>
      <c r="E255">
        <f t="shared" si="19"/>
        <v>984</v>
      </c>
      <c r="F255" s="2">
        <f t="shared" si="23"/>
        <v>48.252086681863425</v>
      </c>
      <c r="G255">
        <f t="shared" si="20"/>
        <v>1349</v>
      </c>
      <c r="H255" s="2">
        <f t="shared" si="21"/>
        <v>48.252086681863425</v>
      </c>
    </row>
    <row r="256" spans="1:8" x14ac:dyDescent="0.2">
      <c r="A256">
        <v>255</v>
      </c>
      <c r="B256">
        <v>50</v>
      </c>
      <c r="C256">
        <v>620</v>
      </c>
      <c r="D256">
        <v>36</v>
      </c>
      <c r="E256">
        <f t="shared" si="19"/>
        <v>985</v>
      </c>
      <c r="F256" s="2">
        <f t="shared" si="23"/>
        <v>48.252086681863425</v>
      </c>
      <c r="G256">
        <f t="shared" si="20"/>
        <v>1350</v>
      </c>
      <c r="H256" s="2">
        <f t="shared" si="21"/>
        <v>48.252086681863425</v>
      </c>
    </row>
    <row r="257" spans="1:8" x14ac:dyDescent="0.2">
      <c r="A257">
        <v>256</v>
      </c>
      <c r="B257">
        <v>34</v>
      </c>
      <c r="C257">
        <v>621</v>
      </c>
      <c r="D257">
        <v>41</v>
      </c>
      <c r="E257">
        <f t="shared" si="19"/>
        <v>986</v>
      </c>
      <c r="F257" s="2">
        <f t="shared" si="23"/>
        <v>48.252086681863425</v>
      </c>
      <c r="G257">
        <f t="shared" si="20"/>
        <v>1351</v>
      </c>
      <c r="H257" s="2">
        <f t="shared" si="21"/>
        <v>48.252086681863425</v>
      </c>
    </row>
    <row r="258" spans="1:8" x14ac:dyDescent="0.2">
      <c r="A258">
        <v>257</v>
      </c>
      <c r="B258">
        <v>69</v>
      </c>
      <c r="C258">
        <v>622</v>
      </c>
      <c r="D258">
        <v>36</v>
      </c>
      <c r="E258">
        <f t="shared" si="19"/>
        <v>987</v>
      </c>
      <c r="F258" s="2">
        <f t="shared" si="23"/>
        <v>48.252086681863425</v>
      </c>
      <c r="G258">
        <f t="shared" si="20"/>
        <v>1352</v>
      </c>
      <c r="H258" s="2">
        <f t="shared" si="21"/>
        <v>48.252086681863425</v>
      </c>
    </row>
    <row r="259" spans="1:8" x14ac:dyDescent="0.2">
      <c r="A259">
        <v>258</v>
      </c>
      <c r="B259">
        <v>47</v>
      </c>
      <c r="C259">
        <v>623</v>
      </c>
      <c r="D259">
        <v>58</v>
      </c>
      <c r="E259">
        <f t="shared" ref="E259:E322" si="24">A259+730</f>
        <v>988</v>
      </c>
      <c r="F259" s="2">
        <f t="shared" si="23"/>
        <v>48.252086681863425</v>
      </c>
      <c r="G259">
        <f t="shared" ref="G259:G322" si="25">C259+730</f>
        <v>1353</v>
      </c>
      <c r="H259" s="2">
        <f t="shared" ref="H259:H322" si="26">F259</f>
        <v>48.252086681863425</v>
      </c>
    </row>
    <row r="260" spans="1:8" x14ac:dyDescent="0.2">
      <c r="A260">
        <v>259</v>
      </c>
      <c r="B260">
        <v>44</v>
      </c>
      <c r="C260">
        <v>624</v>
      </c>
      <c r="D260">
        <v>63</v>
      </c>
      <c r="E260">
        <f t="shared" si="24"/>
        <v>989</v>
      </c>
      <c r="F260" s="2">
        <f t="shared" si="23"/>
        <v>48.252086681863425</v>
      </c>
      <c r="G260">
        <f t="shared" si="25"/>
        <v>1354</v>
      </c>
      <c r="H260" s="2">
        <f t="shared" si="26"/>
        <v>48.252086681863425</v>
      </c>
    </row>
    <row r="261" spans="1:8" x14ac:dyDescent="0.2">
      <c r="A261">
        <v>260</v>
      </c>
      <c r="B261">
        <v>46</v>
      </c>
      <c r="C261">
        <v>625</v>
      </c>
      <c r="D261">
        <v>29</v>
      </c>
      <c r="E261">
        <f t="shared" si="24"/>
        <v>990</v>
      </c>
      <c r="F261" s="2">
        <f t="shared" si="23"/>
        <v>48.252086681863425</v>
      </c>
      <c r="G261">
        <f t="shared" si="25"/>
        <v>1355</v>
      </c>
      <c r="H261" s="2">
        <f t="shared" si="26"/>
        <v>48.252086681863425</v>
      </c>
    </row>
    <row r="262" spans="1:8" x14ac:dyDescent="0.2">
      <c r="A262">
        <v>261</v>
      </c>
      <c r="B262">
        <v>45</v>
      </c>
      <c r="C262">
        <v>626</v>
      </c>
      <c r="D262">
        <v>29</v>
      </c>
      <c r="E262">
        <f t="shared" si="24"/>
        <v>991</v>
      </c>
      <c r="F262" s="2">
        <f t="shared" si="23"/>
        <v>48.252086681863425</v>
      </c>
      <c r="G262">
        <f t="shared" si="25"/>
        <v>1356</v>
      </c>
      <c r="H262" s="2">
        <f t="shared" si="26"/>
        <v>48.252086681863425</v>
      </c>
    </row>
    <row r="263" spans="1:8" x14ac:dyDescent="0.2">
      <c r="A263">
        <v>262</v>
      </c>
      <c r="B263">
        <v>77</v>
      </c>
      <c r="C263">
        <v>627</v>
      </c>
      <c r="D263">
        <v>42</v>
      </c>
      <c r="E263">
        <f t="shared" si="24"/>
        <v>992</v>
      </c>
      <c r="F263" s="2">
        <f t="shared" si="23"/>
        <v>48.252086681863425</v>
      </c>
      <c r="G263">
        <f t="shared" si="25"/>
        <v>1357</v>
      </c>
      <c r="H263" s="2">
        <f t="shared" si="26"/>
        <v>48.252086681863425</v>
      </c>
    </row>
    <row r="264" spans="1:8" x14ac:dyDescent="0.2">
      <c r="A264">
        <v>263</v>
      </c>
      <c r="B264">
        <v>74</v>
      </c>
      <c r="C264">
        <v>628</v>
      </c>
      <c r="D264">
        <v>75</v>
      </c>
      <c r="E264">
        <f t="shared" si="24"/>
        <v>993</v>
      </c>
      <c r="F264" s="2">
        <f t="shared" si="23"/>
        <v>48.252086681863425</v>
      </c>
      <c r="G264">
        <f t="shared" si="25"/>
        <v>1358</v>
      </c>
      <c r="H264" s="2">
        <f t="shared" si="26"/>
        <v>48.252086681863425</v>
      </c>
    </row>
    <row r="265" spans="1:8" x14ac:dyDescent="0.2">
      <c r="A265">
        <v>264</v>
      </c>
      <c r="B265">
        <v>42</v>
      </c>
      <c r="C265">
        <v>629</v>
      </c>
      <c r="D265">
        <v>85</v>
      </c>
      <c r="E265">
        <f t="shared" si="24"/>
        <v>994</v>
      </c>
      <c r="F265" s="2">
        <f t="shared" si="23"/>
        <v>48.252086681863425</v>
      </c>
      <c r="G265">
        <f t="shared" si="25"/>
        <v>1359</v>
      </c>
      <c r="H265" s="2">
        <f t="shared" si="26"/>
        <v>48.252086681863425</v>
      </c>
    </row>
    <row r="266" spans="1:8" x14ac:dyDescent="0.2">
      <c r="A266">
        <v>265</v>
      </c>
      <c r="B266">
        <v>22</v>
      </c>
      <c r="C266">
        <v>630</v>
      </c>
      <c r="D266">
        <v>61</v>
      </c>
      <c r="E266">
        <f t="shared" si="24"/>
        <v>995</v>
      </c>
      <c r="F266" s="2">
        <f t="shared" si="23"/>
        <v>48.252086681863425</v>
      </c>
      <c r="G266">
        <f t="shared" si="25"/>
        <v>1360</v>
      </c>
      <c r="H266" s="2">
        <f t="shared" si="26"/>
        <v>48.252086681863425</v>
      </c>
    </row>
    <row r="267" spans="1:8" x14ac:dyDescent="0.2">
      <c r="A267">
        <v>266</v>
      </c>
      <c r="B267">
        <v>88</v>
      </c>
      <c r="C267">
        <v>631</v>
      </c>
      <c r="D267">
        <v>47</v>
      </c>
      <c r="E267">
        <f t="shared" si="24"/>
        <v>996</v>
      </c>
      <c r="F267" s="2">
        <f t="shared" si="23"/>
        <v>48.252086681863425</v>
      </c>
      <c r="G267">
        <f t="shared" si="25"/>
        <v>1361</v>
      </c>
      <c r="H267" s="2">
        <f t="shared" si="26"/>
        <v>48.252086681863425</v>
      </c>
    </row>
    <row r="268" spans="1:8" x14ac:dyDescent="0.2">
      <c r="A268">
        <v>267</v>
      </c>
      <c r="B268">
        <v>70</v>
      </c>
      <c r="C268">
        <v>632</v>
      </c>
      <c r="D268">
        <v>39</v>
      </c>
      <c r="E268">
        <f t="shared" si="24"/>
        <v>997</v>
      </c>
      <c r="F268" s="2">
        <f t="shared" si="23"/>
        <v>48.252086681863425</v>
      </c>
      <c r="G268">
        <f t="shared" si="25"/>
        <v>1362</v>
      </c>
      <c r="H268" s="2">
        <f t="shared" si="26"/>
        <v>48.252086681863425</v>
      </c>
    </row>
    <row r="269" spans="1:8" x14ac:dyDescent="0.2">
      <c r="A269">
        <v>268</v>
      </c>
      <c r="B269">
        <v>43</v>
      </c>
      <c r="C269">
        <v>633</v>
      </c>
      <c r="D269">
        <v>49</v>
      </c>
      <c r="E269">
        <f t="shared" si="24"/>
        <v>998</v>
      </c>
      <c r="F269" s="2">
        <f t="shared" si="23"/>
        <v>48.252086681863425</v>
      </c>
      <c r="G269">
        <f t="shared" si="25"/>
        <v>1363</v>
      </c>
      <c r="H269" s="2">
        <f t="shared" si="26"/>
        <v>48.252086681863425</v>
      </c>
    </row>
    <row r="270" spans="1:8" x14ac:dyDescent="0.2">
      <c r="A270">
        <v>269</v>
      </c>
      <c r="B270">
        <v>47</v>
      </c>
      <c r="C270">
        <v>634</v>
      </c>
      <c r="D270">
        <v>54</v>
      </c>
      <c r="E270">
        <f t="shared" si="24"/>
        <v>999</v>
      </c>
      <c r="F270" s="2">
        <f t="shared" si="23"/>
        <v>48.252086681863425</v>
      </c>
      <c r="G270">
        <f t="shared" si="25"/>
        <v>1364</v>
      </c>
      <c r="H270" s="2">
        <f t="shared" si="26"/>
        <v>48.252086681863425</v>
      </c>
    </row>
    <row r="271" spans="1:8" x14ac:dyDescent="0.2">
      <c r="A271">
        <v>270</v>
      </c>
      <c r="B271">
        <v>46</v>
      </c>
      <c r="C271">
        <v>635</v>
      </c>
      <c r="D271">
        <v>25</v>
      </c>
      <c r="E271">
        <f t="shared" si="24"/>
        <v>1000</v>
      </c>
      <c r="F271" s="2">
        <f t="shared" si="23"/>
        <v>48.252086681863425</v>
      </c>
      <c r="G271">
        <f t="shared" si="25"/>
        <v>1365</v>
      </c>
      <c r="H271" s="2">
        <f t="shared" si="26"/>
        <v>48.252086681863425</v>
      </c>
    </row>
    <row r="272" spans="1:8" x14ac:dyDescent="0.2">
      <c r="A272">
        <v>271</v>
      </c>
      <c r="B272">
        <v>44</v>
      </c>
      <c r="C272">
        <v>636</v>
      </c>
      <c r="D272">
        <v>32</v>
      </c>
      <c r="E272">
        <f t="shared" si="24"/>
        <v>1001</v>
      </c>
      <c r="F272" s="2">
        <f t="shared" si="23"/>
        <v>48.252086681863425</v>
      </c>
      <c r="G272">
        <f t="shared" si="25"/>
        <v>1366</v>
      </c>
      <c r="H272" s="2">
        <f t="shared" si="26"/>
        <v>48.252086681863425</v>
      </c>
    </row>
    <row r="273" spans="1:8" x14ac:dyDescent="0.2">
      <c r="A273">
        <v>272</v>
      </c>
      <c r="B273">
        <v>53</v>
      </c>
      <c r="C273">
        <v>637</v>
      </c>
      <c r="D273">
        <v>31</v>
      </c>
      <c r="E273">
        <f t="shared" si="24"/>
        <v>1002</v>
      </c>
      <c r="F273" s="2">
        <f t="shared" si="23"/>
        <v>48.252086681863425</v>
      </c>
      <c r="G273">
        <f t="shared" si="25"/>
        <v>1367</v>
      </c>
      <c r="H273" s="2">
        <f t="shared" si="26"/>
        <v>48.252086681863425</v>
      </c>
    </row>
    <row r="274" spans="1:8" x14ac:dyDescent="0.2">
      <c r="A274">
        <v>273</v>
      </c>
      <c r="B274">
        <v>38</v>
      </c>
      <c r="C274">
        <v>638</v>
      </c>
      <c r="D274">
        <v>36</v>
      </c>
      <c r="E274">
        <f t="shared" si="24"/>
        <v>1003</v>
      </c>
      <c r="F274" s="2">
        <f t="shared" si="23"/>
        <v>48.252086681863425</v>
      </c>
      <c r="G274">
        <f t="shared" si="25"/>
        <v>1368</v>
      </c>
      <c r="H274" s="2">
        <f t="shared" si="26"/>
        <v>48.252086681863425</v>
      </c>
    </row>
    <row r="275" spans="1:8" x14ac:dyDescent="0.2">
      <c r="A275">
        <v>274</v>
      </c>
      <c r="B275">
        <v>44</v>
      </c>
      <c r="C275">
        <v>639</v>
      </c>
      <c r="D275">
        <v>48</v>
      </c>
      <c r="E275">
        <f t="shared" si="24"/>
        <v>1004</v>
      </c>
      <c r="F275" s="2">
        <f t="shared" si="23"/>
        <v>48.252086681863425</v>
      </c>
      <c r="G275">
        <f t="shared" si="25"/>
        <v>1369</v>
      </c>
      <c r="H275" s="2">
        <f t="shared" si="26"/>
        <v>48.252086681863425</v>
      </c>
    </row>
    <row r="276" spans="1:8" x14ac:dyDescent="0.2">
      <c r="A276">
        <v>275</v>
      </c>
      <c r="B276">
        <v>37</v>
      </c>
      <c r="C276">
        <v>640</v>
      </c>
      <c r="D276">
        <v>32</v>
      </c>
      <c r="E276">
        <f t="shared" si="24"/>
        <v>1005</v>
      </c>
      <c r="F276" s="2">
        <f t="shared" si="23"/>
        <v>48.252086681863425</v>
      </c>
      <c r="G276">
        <f t="shared" si="25"/>
        <v>1370</v>
      </c>
      <c r="H276" s="2">
        <f t="shared" si="26"/>
        <v>48.252086681863425</v>
      </c>
    </row>
    <row r="277" spans="1:8" x14ac:dyDescent="0.2">
      <c r="A277">
        <v>276</v>
      </c>
      <c r="B277">
        <v>10</v>
      </c>
      <c r="C277">
        <v>641</v>
      </c>
      <c r="D277">
        <v>50</v>
      </c>
      <c r="E277">
        <f t="shared" si="24"/>
        <v>1006</v>
      </c>
      <c r="F277" s="2">
        <f t="shared" si="23"/>
        <v>48.252086681863425</v>
      </c>
      <c r="G277">
        <f t="shared" si="25"/>
        <v>1371</v>
      </c>
      <c r="H277" s="2">
        <f t="shared" si="26"/>
        <v>48.252086681863425</v>
      </c>
    </row>
    <row r="278" spans="1:8" x14ac:dyDescent="0.2">
      <c r="A278">
        <v>277</v>
      </c>
      <c r="B278">
        <v>40</v>
      </c>
      <c r="C278">
        <v>642</v>
      </c>
      <c r="D278">
        <v>21</v>
      </c>
      <c r="E278">
        <f t="shared" si="24"/>
        <v>1007</v>
      </c>
      <c r="F278" s="2">
        <f t="shared" si="23"/>
        <v>48.252086681863425</v>
      </c>
      <c r="G278">
        <f t="shared" si="25"/>
        <v>1372</v>
      </c>
      <c r="H278" s="2">
        <f t="shared" si="26"/>
        <v>48.252086681863425</v>
      </c>
    </row>
    <row r="279" spans="1:8" x14ac:dyDescent="0.2">
      <c r="A279">
        <v>278</v>
      </c>
      <c r="B279">
        <v>26</v>
      </c>
      <c r="C279">
        <v>643</v>
      </c>
      <c r="D279">
        <v>34</v>
      </c>
      <c r="E279">
        <f t="shared" si="24"/>
        <v>1008</v>
      </c>
      <c r="F279" s="2">
        <f t="shared" si="23"/>
        <v>48.252086681863425</v>
      </c>
      <c r="G279">
        <f t="shared" si="25"/>
        <v>1373</v>
      </c>
      <c r="H279" s="2">
        <f t="shared" si="26"/>
        <v>48.252086681863425</v>
      </c>
    </row>
    <row r="280" spans="1:8" x14ac:dyDescent="0.2">
      <c r="A280">
        <v>279</v>
      </c>
      <c r="B280">
        <v>16</v>
      </c>
      <c r="C280">
        <v>644</v>
      </c>
      <c r="D280">
        <v>49</v>
      </c>
      <c r="E280">
        <f t="shared" si="24"/>
        <v>1009</v>
      </c>
      <c r="F280" s="2">
        <f t="shared" si="23"/>
        <v>48.252086681863425</v>
      </c>
      <c r="G280">
        <f t="shared" si="25"/>
        <v>1374</v>
      </c>
      <c r="H280" s="2">
        <f t="shared" si="26"/>
        <v>48.252086681863425</v>
      </c>
    </row>
    <row r="281" spans="1:8" x14ac:dyDescent="0.2">
      <c r="A281">
        <v>280</v>
      </c>
      <c r="B281">
        <v>24</v>
      </c>
      <c r="C281">
        <v>645</v>
      </c>
      <c r="D281">
        <v>18</v>
      </c>
      <c r="E281">
        <f t="shared" si="24"/>
        <v>1010</v>
      </c>
      <c r="F281" s="2">
        <f t="shared" si="23"/>
        <v>48.252086681863425</v>
      </c>
      <c r="G281">
        <f t="shared" si="25"/>
        <v>1375</v>
      </c>
      <c r="H281" s="2">
        <f t="shared" si="26"/>
        <v>48.252086681863425</v>
      </c>
    </row>
    <row r="282" spans="1:8" x14ac:dyDescent="0.2">
      <c r="A282">
        <v>281</v>
      </c>
      <c r="B282">
        <v>38</v>
      </c>
      <c r="C282">
        <v>646</v>
      </c>
      <c r="D282">
        <v>33</v>
      </c>
      <c r="E282">
        <f t="shared" si="24"/>
        <v>1011</v>
      </c>
      <c r="F282" s="2">
        <f t="shared" si="23"/>
        <v>48.252086681863425</v>
      </c>
      <c r="G282">
        <f t="shared" si="25"/>
        <v>1376</v>
      </c>
      <c r="H282" s="2">
        <f t="shared" si="26"/>
        <v>48.252086681863425</v>
      </c>
    </row>
    <row r="283" spans="1:8" x14ac:dyDescent="0.2">
      <c r="A283">
        <v>282</v>
      </c>
      <c r="B283">
        <v>33</v>
      </c>
      <c r="C283">
        <v>647</v>
      </c>
      <c r="D283">
        <v>30</v>
      </c>
      <c r="E283">
        <f t="shared" si="24"/>
        <v>1012</v>
      </c>
      <c r="F283" s="2">
        <f t="shared" si="23"/>
        <v>48.252086681863425</v>
      </c>
      <c r="G283">
        <f t="shared" si="25"/>
        <v>1377</v>
      </c>
      <c r="H283" s="2">
        <f t="shared" si="26"/>
        <v>48.252086681863425</v>
      </c>
    </row>
    <row r="284" spans="1:8" x14ac:dyDescent="0.2">
      <c r="A284">
        <v>283</v>
      </c>
      <c r="B284">
        <v>38</v>
      </c>
      <c r="C284">
        <v>648</v>
      </c>
      <c r="D284">
        <v>35</v>
      </c>
      <c r="E284">
        <f t="shared" si="24"/>
        <v>1013</v>
      </c>
      <c r="F284" s="2">
        <f t="shared" si="23"/>
        <v>48.252086681863425</v>
      </c>
      <c r="G284">
        <f t="shared" si="25"/>
        <v>1378</v>
      </c>
      <c r="H284" s="2">
        <f t="shared" si="26"/>
        <v>48.252086681863425</v>
      </c>
    </row>
    <row r="285" spans="1:8" x14ac:dyDescent="0.2">
      <c r="A285">
        <v>284</v>
      </c>
      <c r="B285">
        <v>67</v>
      </c>
      <c r="C285">
        <v>649</v>
      </c>
      <c r="D285">
        <v>18</v>
      </c>
      <c r="E285">
        <f t="shared" si="24"/>
        <v>1014</v>
      </c>
      <c r="F285" s="2">
        <f t="shared" si="23"/>
        <v>48.252086681863425</v>
      </c>
      <c r="G285">
        <f t="shared" si="25"/>
        <v>1379</v>
      </c>
      <c r="H285" s="2">
        <f t="shared" si="26"/>
        <v>48.252086681863425</v>
      </c>
    </row>
    <row r="286" spans="1:8" x14ac:dyDescent="0.2">
      <c r="A286">
        <v>285</v>
      </c>
      <c r="B286">
        <v>22</v>
      </c>
      <c r="C286">
        <v>650</v>
      </c>
      <c r="D286">
        <v>33</v>
      </c>
      <c r="E286">
        <f t="shared" si="24"/>
        <v>1015</v>
      </c>
      <c r="F286" s="2">
        <f t="shared" ref="F286:F293" si="27">$P$21</f>
        <v>48.252086681863425</v>
      </c>
      <c r="G286">
        <f t="shared" si="25"/>
        <v>1380</v>
      </c>
      <c r="H286" s="2">
        <f t="shared" si="26"/>
        <v>48.252086681863425</v>
      </c>
    </row>
    <row r="287" spans="1:8" x14ac:dyDescent="0.2">
      <c r="A287">
        <v>286</v>
      </c>
      <c r="B287">
        <v>12</v>
      </c>
      <c r="C287">
        <v>651</v>
      </c>
      <c r="D287">
        <v>26</v>
      </c>
      <c r="E287">
        <f t="shared" si="24"/>
        <v>1016</v>
      </c>
      <c r="F287" s="2">
        <f t="shared" si="27"/>
        <v>48.252086681863425</v>
      </c>
      <c r="G287">
        <f t="shared" si="25"/>
        <v>1381</v>
      </c>
      <c r="H287" s="2">
        <f t="shared" si="26"/>
        <v>48.252086681863425</v>
      </c>
    </row>
    <row r="288" spans="1:8" x14ac:dyDescent="0.2">
      <c r="A288">
        <v>287</v>
      </c>
      <c r="B288">
        <v>33</v>
      </c>
      <c r="C288">
        <v>652</v>
      </c>
      <c r="D288">
        <v>34</v>
      </c>
      <c r="E288">
        <f t="shared" si="24"/>
        <v>1017</v>
      </c>
      <c r="F288" s="2">
        <f t="shared" si="27"/>
        <v>48.252086681863425</v>
      </c>
      <c r="G288">
        <f t="shared" si="25"/>
        <v>1382</v>
      </c>
      <c r="H288" s="2">
        <f t="shared" si="26"/>
        <v>48.252086681863425</v>
      </c>
    </row>
    <row r="289" spans="1:8" x14ac:dyDescent="0.2">
      <c r="A289">
        <v>288</v>
      </c>
      <c r="B289">
        <v>33</v>
      </c>
      <c r="C289">
        <v>653</v>
      </c>
      <c r="D289">
        <v>34</v>
      </c>
      <c r="E289">
        <f t="shared" si="24"/>
        <v>1018</v>
      </c>
      <c r="F289" s="2">
        <f t="shared" si="27"/>
        <v>48.252086681863425</v>
      </c>
      <c r="G289">
        <f t="shared" si="25"/>
        <v>1383</v>
      </c>
      <c r="H289" s="2">
        <f t="shared" si="26"/>
        <v>48.252086681863425</v>
      </c>
    </row>
    <row r="290" spans="1:8" x14ac:dyDescent="0.2">
      <c r="A290">
        <v>289</v>
      </c>
      <c r="B290">
        <v>44</v>
      </c>
      <c r="C290">
        <v>654</v>
      </c>
      <c r="D290">
        <v>30</v>
      </c>
      <c r="E290">
        <f t="shared" si="24"/>
        <v>1019</v>
      </c>
      <c r="F290" s="2">
        <f t="shared" si="27"/>
        <v>48.252086681863425</v>
      </c>
      <c r="G290">
        <f t="shared" si="25"/>
        <v>1384</v>
      </c>
      <c r="H290" s="2">
        <f t="shared" si="26"/>
        <v>48.252086681863425</v>
      </c>
    </row>
    <row r="291" spans="1:8" x14ac:dyDescent="0.2">
      <c r="A291">
        <v>290</v>
      </c>
      <c r="B291">
        <v>27</v>
      </c>
      <c r="C291">
        <v>655</v>
      </c>
      <c r="D291">
        <v>37</v>
      </c>
      <c r="E291">
        <f t="shared" si="24"/>
        <v>1020</v>
      </c>
      <c r="F291" s="2">
        <f t="shared" si="27"/>
        <v>48.252086681863425</v>
      </c>
      <c r="G291">
        <f t="shared" si="25"/>
        <v>1385</v>
      </c>
      <c r="H291" s="2">
        <f t="shared" si="26"/>
        <v>48.252086681863425</v>
      </c>
    </row>
    <row r="292" spans="1:8" x14ac:dyDescent="0.2">
      <c r="A292">
        <v>291</v>
      </c>
      <c r="B292">
        <v>58</v>
      </c>
      <c r="C292">
        <v>656</v>
      </c>
      <c r="D292">
        <v>65</v>
      </c>
      <c r="E292">
        <f t="shared" si="24"/>
        <v>1021</v>
      </c>
      <c r="F292" s="2">
        <f t="shared" si="27"/>
        <v>48.252086681863425</v>
      </c>
      <c r="G292">
        <f t="shared" si="25"/>
        <v>1386</v>
      </c>
      <c r="H292" s="2">
        <f t="shared" si="26"/>
        <v>48.252086681863425</v>
      </c>
    </row>
    <row r="293" spans="1:8" x14ac:dyDescent="0.2">
      <c r="A293">
        <v>292</v>
      </c>
      <c r="B293">
        <v>20</v>
      </c>
      <c r="C293">
        <v>657</v>
      </c>
      <c r="D293">
        <v>16</v>
      </c>
      <c r="E293">
        <f t="shared" si="24"/>
        <v>1022</v>
      </c>
      <c r="F293" s="2">
        <f t="shared" si="27"/>
        <v>48.252086681863425</v>
      </c>
      <c r="G293">
        <f t="shared" si="25"/>
        <v>1387</v>
      </c>
      <c r="H293" s="2">
        <f t="shared" si="26"/>
        <v>48.252086681863425</v>
      </c>
    </row>
    <row r="294" spans="1:8" x14ac:dyDescent="0.2">
      <c r="A294">
        <v>293</v>
      </c>
      <c r="B294">
        <v>29</v>
      </c>
      <c r="C294">
        <v>658</v>
      </c>
      <c r="D294">
        <v>15</v>
      </c>
      <c r="E294">
        <f t="shared" si="24"/>
        <v>1023</v>
      </c>
      <c r="F294" s="2">
        <f>$P$22</f>
        <v>14.329162124156674</v>
      </c>
      <c r="G294">
        <f t="shared" si="25"/>
        <v>1388</v>
      </c>
      <c r="H294" s="2">
        <f t="shared" si="26"/>
        <v>14.329162124156674</v>
      </c>
    </row>
    <row r="295" spans="1:8" x14ac:dyDescent="0.2">
      <c r="A295">
        <v>294</v>
      </c>
      <c r="B295">
        <v>18</v>
      </c>
      <c r="C295">
        <v>659</v>
      </c>
      <c r="D295">
        <v>17</v>
      </c>
      <c r="E295">
        <f t="shared" si="24"/>
        <v>1024</v>
      </c>
      <c r="F295" s="2">
        <f t="shared" ref="F295:F358" si="28">$P$22</f>
        <v>14.329162124156674</v>
      </c>
      <c r="G295">
        <f t="shared" si="25"/>
        <v>1389</v>
      </c>
      <c r="H295" s="2">
        <f t="shared" si="26"/>
        <v>14.329162124156674</v>
      </c>
    </row>
    <row r="296" spans="1:8" x14ac:dyDescent="0.2">
      <c r="A296">
        <v>295</v>
      </c>
      <c r="B296">
        <v>62</v>
      </c>
      <c r="C296">
        <v>660</v>
      </c>
      <c r="D296">
        <v>14</v>
      </c>
      <c r="E296">
        <f t="shared" si="24"/>
        <v>1025</v>
      </c>
      <c r="F296" s="2">
        <f t="shared" si="28"/>
        <v>14.329162124156674</v>
      </c>
      <c r="G296">
        <f t="shared" si="25"/>
        <v>1390</v>
      </c>
      <c r="H296" s="2">
        <f t="shared" si="26"/>
        <v>14.329162124156674</v>
      </c>
    </row>
    <row r="297" spans="1:8" x14ac:dyDescent="0.2">
      <c r="A297">
        <v>296</v>
      </c>
      <c r="B297">
        <v>10</v>
      </c>
      <c r="C297">
        <v>661</v>
      </c>
      <c r="D297">
        <v>54</v>
      </c>
      <c r="E297">
        <f t="shared" si="24"/>
        <v>1026</v>
      </c>
      <c r="F297" s="2">
        <f t="shared" si="28"/>
        <v>14.329162124156674</v>
      </c>
      <c r="G297">
        <f t="shared" si="25"/>
        <v>1391</v>
      </c>
      <c r="H297" s="2">
        <f t="shared" si="26"/>
        <v>14.329162124156674</v>
      </c>
    </row>
    <row r="298" spans="1:8" x14ac:dyDescent="0.2">
      <c r="A298">
        <v>297</v>
      </c>
      <c r="B298">
        <v>4</v>
      </c>
      <c r="C298">
        <v>662</v>
      </c>
      <c r="D298">
        <v>17</v>
      </c>
      <c r="E298">
        <f t="shared" si="24"/>
        <v>1027</v>
      </c>
      <c r="F298" s="2">
        <f t="shared" si="28"/>
        <v>14.329162124156674</v>
      </c>
      <c r="G298">
        <f t="shared" si="25"/>
        <v>1392</v>
      </c>
      <c r="H298" s="2">
        <f t="shared" si="26"/>
        <v>14.329162124156674</v>
      </c>
    </row>
    <row r="299" spans="1:8" x14ac:dyDescent="0.2">
      <c r="A299">
        <v>298</v>
      </c>
      <c r="B299">
        <v>23</v>
      </c>
      <c r="C299">
        <v>663</v>
      </c>
      <c r="D299">
        <v>33</v>
      </c>
      <c r="E299">
        <f t="shared" si="24"/>
        <v>1028</v>
      </c>
      <c r="F299" s="2">
        <f t="shared" si="28"/>
        <v>14.329162124156674</v>
      </c>
      <c r="G299">
        <f t="shared" si="25"/>
        <v>1393</v>
      </c>
      <c r="H299" s="2">
        <f t="shared" si="26"/>
        <v>14.329162124156674</v>
      </c>
    </row>
    <row r="300" spans="1:8" x14ac:dyDescent="0.2">
      <c r="A300">
        <v>299</v>
      </c>
      <c r="B300">
        <v>14</v>
      </c>
      <c r="C300">
        <v>664</v>
      </c>
      <c r="D300">
        <v>12</v>
      </c>
      <c r="E300">
        <f t="shared" si="24"/>
        <v>1029</v>
      </c>
      <c r="F300" s="2">
        <f t="shared" si="28"/>
        <v>14.329162124156674</v>
      </c>
      <c r="G300">
        <f t="shared" si="25"/>
        <v>1394</v>
      </c>
      <c r="H300" s="2">
        <f t="shared" si="26"/>
        <v>14.329162124156674</v>
      </c>
    </row>
    <row r="301" spans="1:8" x14ac:dyDescent="0.2">
      <c r="A301">
        <v>300</v>
      </c>
      <c r="B301">
        <v>34</v>
      </c>
      <c r="C301">
        <v>665</v>
      </c>
      <c r="D301">
        <v>15</v>
      </c>
      <c r="E301">
        <f t="shared" si="24"/>
        <v>1030</v>
      </c>
      <c r="F301" s="2">
        <f t="shared" si="28"/>
        <v>14.329162124156674</v>
      </c>
      <c r="G301">
        <f t="shared" si="25"/>
        <v>1395</v>
      </c>
      <c r="H301" s="2">
        <f t="shared" si="26"/>
        <v>14.329162124156674</v>
      </c>
    </row>
    <row r="302" spans="1:8" x14ac:dyDescent="0.2">
      <c r="A302">
        <v>301</v>
      </c>
      <c r="B302">
        <v>10</v>
      </c>
      <c r="C302">
        <v>666</v>
      </c>
      <c r="D302">
        <v>21</v>
      </c>
      <c r="E302">
        <f t="shared" si="24"/>
        <v>1031</v>
      </c>
      <c r="F302" s="2">
        <f t="shared" si="28"/>
        <v>14.329162124156674</v>
      </c>
      <c r="G302">
        <f t="shared" si="25"/>
        <v>1396</v>
      </c>
      <c r="H302" s="2">
        <f t="shared" si="26"/>
        <v>14.329162124156674</v>
      </c>
    </row>
    <row r="303" spans="1:8" x14ac:dyDescent="0.2">
      <c r="A303">
        <v>302</v>
      </c>
      <c r="B303">
        <v>10</v>
      </c>
      <c r="C303">
        <v>667</v>
      </c>
      <c r="D303">
        <v>16</v>
      </c>
      <c r="E303">
        <f t="shared" si="24"/>
        <v>1032</v>
      </c>
      <c r="F303" s="2">
        <f t="shared" si="28"/>
        <v>14.329162124156674</v>
      </c>
      <c r="G303">
        <f t="shared" si="25"/>
        <v>1397</v>
      </c>
      <c r="H303" s="2">
        <f t="shared" si="26"/>
        <v>14.329162124156674</v>
      </c>
    </row>
    <row r="304" spans="1:8" x14ac:dyDescent="0.2">
      <c r="A304">
        <v>303</v>
      </c>
      <c r="B304">
        <v>14</v>
      </c>
      <c r="C304">
        <v>668</v>
      </c>
      <c r="D304">
        <v>24</v>
      </c>
      <c r="E304">
        <f t="shared" si="24"/>
        <v>1033</v>
      </c>
      <c r="F304" s="2">
        <f t="shared" si="28"/>
        <v>14.329162124156674</v>
      </c>
      <c r="G304">
        <f t="shared" si="25"/>
        <v>1398</v>
      </c>
      <c r="H304" s="2">
        <f t="shared" si="26"/>
        <v>14.329162124156674</v>
      </c>
    </row>
    <row r="305" spans="1:8" x14ac:dyDescent="0.2">
      <c r="A305">
        <v>304</v>
      </c>
      <c r="B305">
        <v>16</v>
      </c>
      <c r="C305">
        <v>669</v>
      </c>
      <c r="D305">
        <v>19</v>
      </c>
      <c r="E305">
        <f t="shared" si="24"/>
        <v>1034</v>
      </c>
      <c r="F305" s="2">
        <f t="shared" si="28"/>
        <v>14.329162124156674</v>
      </c>
      <c r="G305">
        <f t="shared" si="25"/>
        <v>1399</v>
      </c>
      <c r="H305" s="2">
        <f t="shared" si="26"/>
        <v>14.329162124156674</v>
      </c>
    </row>
    <row r="306" spans="1:8" x14ac:dyDescent="0.2">
      <c r="A306">
        <v>305</v>
      </c>
      <c r="B306">
        <v>10</v>
      </c>
      <c r="C306">
        <v>670</v>
      </c>
      <c r="D306">
        <v>10</v>
      </c>
      <c r="E306">
        <f t="shared" si="24"/>
        <v>1035</v>
      </c>
      <c r="F306" s="2">
        <f t="shared" si="28"/>
        <v>14.329162124156674</v>
      </c>
      <c r="G306">
        <f t="shared" si="25"/>
        <v>1400</v>
      </c>
      <c r="H306" s="2">
        <f t="shared" si="26"/>
        <v>14.329162124156674</v>
      </c>
    </row>
    <row r="307" spans="1:8" x14ac:dyDescent="0.2">
      <c r="A307">
        <v>306</v>
      </c>
      <c r="B307">
        <v>18</v>
      </c>
      <c r="C307">
        <v>671</v>
      </c>
      <c r="D307">
        <v>26</v>
      </c>
      <c r="E307">
        <f t="shared" si="24"/>
        <v>1036</v>
      </c>
      <c r="F307" s="2">
        <f t="shared" si="28"/>
        <v>14.329162124156674</v>
      </c>
      <c r="G307">
        <f t="shared" si="25"/>
        <v>1401</v>
      </c>
      <c r="H307" s="2">
        <f t="shared" si="26"/>
        <v>14.329162124156674</v>
      </c>
    </row>
    <row r="308" spans="1:8" x14ac:dyDescent="0.2">
      <c r="A308">
        <v>307</v>
      </c>
      <c r="B308">
        <v>12</v>
      </c>
      <c r="C308">
        <v>672</v>
      </c>
      <c r="D308">
        <v>39</v>
      </c>
      <c r="E308">
        <f t="shared" si="24"/>
        <v>1037</v>
      </c>
      <c r="F308" s="2">
        <f t="shared" si="28"/>
        <v>14.329162124156674</v>
      </c>
      <c r="G308">
        <f t="shared" si="25"/>
        <v>1402</v>
      </c>
      <c r="H308" s="2">
        <f t="shared" si="26"/>
        <v>14.329162124156674</v>
      </c>
    </row>
    <row r="309" spans="1:8" x14ac:dyDescent="0.2">
      <c r="A309">
        <v>308</v>
      </c>
      <c r="B309">
        <v>36</v>
      </c>
      <c r="C309">
        <v>673</v>
      </c>
      <c r="D309">
        <v>23</v>
      </c>
      <c r="E309">
        <f t="shared" si="24"/>
        <v>1038</v>
      </c>
      <c r="F309" s="2">
        <f t="shared" si="28"/>
        <v>14.329162124156674</v>
      </c>
      <c r="G309">
        <f t="shared" si="25"/>
        <v>1403</v>
      </c>
      <c r="H309" s="2">
        <f t="shared" si="26"/>
        <v>14.329162124156674</v>
      </c>
    </row>
    <row r="310" spans="1:8" x14ac:dyDescent="0.2">
      <c r="A310">
        <v>309</v>
      </c>
      <c r="B310">
        <v>20</v>
      </c>
      <c r="C310">
        <v>674</v>
      </c>
      <c r="D310">
        <v>14</v>
      </c>
      <c r="E310">
        <f t="shared" si="24"/>
        <v>1039</v>
      </c>
      <c r="F310" s="2">
        <f t="shared" si="28"/>
        <v>14.329162124156674</v>
      </c>
      <c r="G310">
        <f t="shared" si="25"/>
        <v>1404</v>
      </c>
      <c r="H310" s="2">
        <f t="shared" si="26"/>
        <v>14.329162124156674</v>
      </c>
    </row>
    <row r="311" spans="1:8" x14ac:dyDescent="0.2">
      <c r="A311">
        <v>310</v>
      </c>
      <c r="B311">
        <v>3</v>
      </c>
      <c r="C311">
        <v>675</v>
      </c>
      <c r="D311">
        <v>16</v>
      </c>
      <c r="E311">
        <f t="shared" si="24"/>
        <v>1040</v>
      </c>
      <c r="F311" s="2">
        <f t="shared" si="28"/>
        <v>14.329162124156674</v>
      </c>
      <c r="G311">
        <f t="shared" si="25"/>
        <v>1405</v>
      </c>
      <c r="H311" s="2">
        <f t="shared" si="26"/>
        <v>14.329162124156674</v>
      </c>
    </row>
    <row r="312" spans="1:8" x14ac:dyDescent="0.2">
      <c r="A312">
        <v>311</v>
      </c>
      <c r="B312">
        <v>12</v>
      </c>
      <c r="C312">
        <v>676</v>
      </c>
      <c r="D312">
        <v>26</v>
      </c>
      <c r="E312">
        <f t="shared" si="24"/>
        <v>1041</v>
      </c>
      <c r="F312" s="2">
        <f t="shared" si="28"/>
        <v>14.329162124156674</v>
      </c>
      <c r="G312">
        <f t="shared" si="25"/>
        <v>1406</v>
      </c>
      <c r="H312" s="2">
        <f t="shared" si="26"/>
        <v>14.329162124156674</v>
      </c>
    </row>
    <row r="313" spans="1:8" x14ac:dyDescent="0.2">
      <c r="A313">
        <v>312</v>
      </c>
      <c r="B313">
        <v>18</v>
      </c>
      <c r="C313">
        <v>677</v>
      </c>
      <c r="D313">
        <v>21</v>
      </c>
      <c r="E313">
        <f t="shared" si="24"/>
        <v>1042</v>
      </c>
      <c r="F313" s="2">
        <f t="shared" si="28"/>
        <v>14.329162124156674</v>
      </c>
      <c r="G313">
        <f t="shared" si="25"/>
        <v>1407</v>
      </c>
      <c r="H313" s="2">
        <f t="shared" si="26"/>
        <v>14.329162124156674</v>
      </c>
    </row>
    <row r="314" spans="1:8" x14ac:dyDescent="0.2">
      <c r="A314">
        <v>313</v>
      </c>
      <c r="B314">
        <v>9</v>
      </c>
      <c r="C314">
        <v>678</v>
      </c>
      <c r="D314">
        <v>29</v>
      </c>
      <c r="E314">
        <f t="shared" si="24"/>
        <v>1043</v>
      </c>
      <c r="F314" s="2">
        <f t="shared" si="28"/>
        <v>14.329162124156674</v>
      </c>
      <c r="G314">
        <f t="shared" si="25"/>
        <v>1408</v>
      </c>
      <c r="H314" s="2">
        <f t="shared" si="26"/>
        <v>14.329162124156674</v>
      </c>
    </row>
    <row r="315" spans="1:8" x14ac:dyDescent="0.2">
      <c r="A315">
        <v>314</v>
      </c>
      <c r="B315">
        <v>6</v>
      </c>
      <c r="C315">
        <v>679</v>
      </c>
      <c r="D315">
        <v>7</v>
      </c>
      <c r="E315">
        <f t="shared" si="24"/>
        <v>1044</v>
      </c>
      <c r="F315" s="2">
        <f t="shared" si="28"/>
        <v>14.329162124156674</v>
      </c>
      <c r="G315">
        <f t="shared" si="25"/>
        <v>1409</v>
      </c>
      <c r="H315" s="2">
        <f t="shared" si="26"/>
        <v>14.329162124156674</v>
      </c>
    </row>
    <row r="316" spans="1:8" x14ac:dyDescent="0.2">
      <c r="A316">
        <v>315</v>
      </c>
      <c r="B316">
        <v>26</v>
      </c>
      <c r="C316">
        <v>680</v>
      </c>
      <c r="D316">
        <v>13</v>
      </c>
      <c r="E316">
        <f t="shared" si="24"/>
        <v>1045</v>
      </c>
      <c r="F316" s="2">
        <f t="shared" si="28"/>
        <v>14.329162124156674</v>
      </c>
      <c r="G316">
        <f t="shared" si="25"/>
        <v>1410</v>
      </c>
      <c r="H316" s="2">
        <f t="shared" si="26"/>
        <v>14.329162124156674</v>
      </c>
    </row>
    <row r="317" spans="1:8" x14ac:dyDescent="0.2">
      <c r="A317">
        <v>316</v>
      </c>
      <c r="B317">
        <v>13</v>
      </c>
      <c r="C317">
        <v>681</v>
      </c>
      <c r="D317">
        <v>40</v>
      </c>
      <c r="E317">
        <f t="shared" si="24"/>
        <v>1046</v>
      </c>
      <c r="F317" s="2">
        <f t="shared" si="28"/>
        <v>14.329162124156674</v>
      </c>
      <c r="G317">
        <f t="shared" si="25"/>
        <v>1411</v>
      </c>
      <c r="H317" s="2">
        <f t="shared" si="26"/>
        <v>14.329162124156674</v>
      </c>
    </row>
    <row r="318" spans="1:8" x14ac:dyDescent="0.2">
      <c r="A318">
        <v>317</v>
      </c>
      <c r="B318">
        <v>16</v>
      </c>
      <c r="C318">
        <v>682</v>
      </c>
      <c r="D318">
        <v>4</v>
      </c>
      <c r="E318">
        <f t="shared" si="24"/>
        <v>1047</v>
      </c>
      <c r="F318" s="2">
        <f t="shared" si="28"/>
        <v>14.329162124156674</v>
      </c>
      <c r="G318">
        <f t="shared" si="25"/>
        <v>1412</v>
      </c>
      <c r="H318" s="2">
        <f t="shared" si="26"/>
        <v>14.329162124156674</v>
      </c>
    </row>
    <row r="319" spans="1:8" x14ac:dyDescent="0.2">
      <c r="A319">
        <v>318</v>
      </c>
      <c r="B319">
        <v>10</v>
      </c>
      <c r="C319">
        <v>683</v>
      </c>
      <c r="D319">
        <v>22</v>
      </c>
      <c r="E319">
        <f t="shared" si="24"/>
        <v>1048</v>
      </c>
      <c r="F319" s="2">
        <f t="shared" si="28"/>
        <v>14.329162124156674</v>
      </c>
      <c r="G319">
        <f t="shared" si="25"/>
        <v>1413</v>
      </c>
      <c r="H319" s="2">
        <f t="shared" si="26"/>
        <v>14.329162124156674</v>
      </c>
    </row>
    <row r="320" spans="1:8" x14ac:dyDescent="0.2">
      <c r="A320">
        <v>319</v>
      </c>
      <c r="B320">
        <v>7</v>
      </c>
      <c r="C320">
        <v>684</v>
      </c>
      <c r="D320">
        <v>9</v>
      </c>
      <c r="E320">
        <f t="shared" si="24"/>
        <v>1049</v>
      </c>
      <c r="F320" s="2">
        <f t="shared" si="28"/>
        <v>14.329162124156674</v>
      </c>
      <c r="G320">
        <f t="shared" si="25"/>
        <v>1414</v>
      </c>
      <c r="H320" s="2">
        <f t="shared" si="26"/>
        <v>14.329162124156674</v>
      </c>
    </row>
    <row r="321" spans="1:9" x14ac:dyDescent="0.2">
      <c r="A321">
        <v>320</v>
      </c>
      <c r="B321">
        <v>6</v>
      </c>
      <c r="C321">
        <v>685</v>
      </c>
      <c r="D321">
        <v>11</v>
      </c>
      <c r="E321">
        <f t="shared" si="24"/>
        <v>1050</v>
      </c>
      <c r="F321" s="2">
        <f t="shared" si="28"/>
        <v>14.329162124156674</v>
      </c>
      <c r="G321">
        <f t="shared" si="25"/>
        <v>1415</v>
      </c>
      <c r="H321" s="2">
        <f t="shared" si="26"/>
        <v>14.329162124156674</v>
      </c>
    </row>
    <row r="322" spans="1:9" x14ac:dyDescent="0.2">
      <c r="A322">
        <v>321</v>
      </c>
      <c r="B322">
        <v>20</v>
      </c>
      <c r="C322">
        <v>686</v>
      </c>
      <c r="D322">
        <v>29</v>
      </c>
      <c r="E322">
        <f t="shared" si="24"/>
        <v>1051</v>
      </c>
      <c r="F322" s="2">
        <f t="shared" si="28"/>
        <v>14.329162124156674</v>
      </c>
      <c r="G322">
        <f t="shared" si="25"/>
        <v>1416</v>
      </c>
      <c r="H322" s="2">
        <f t="shared" si="26"/>
        <v>14.329162124156674</v>
      </c>
    </row>
    <row r="323" spans="1:9" x14ac:dyDescent="0.2">
      <c r="A323">
        <v>322</v>
      </c>
      <c r="B323">
        <v>13</v>
      </c>
      <c r="C323">
        <v>687</v>
      </c>
      <c r="D323">
        <v>13</v>
      </c>
      <c r="E323">
        <f t="shared" ref="E323:E366" si="29">A323+730</f>
        <v>1052</v>
      </c>
      <c r="F323" s="2">
        <f t="shared" si="28"/>
        <v>14.329162124156674</v>
      </c>
      <c r="G323">
        <f t="shared" ref="G323:G366" si="30">C323+730</f>
        <v>1417</v>
      </c>
      <c r="H323" s="2">
        <f t="shared" ref="H323:H366" si="31">F323</f>
        <v>14.329162124156674</v>
      </c>
    </row>
    <row r="324" spans="1:9" x14ac:dyDescent="0.2">
      <c r="A324">
        <v>323</v>
      </c>
      <c r="B324">
        <v>6</v>
      </c>
      <c r="C324">
        <v>688</v>
      </c>
      <c r="D324">
        <v>56</v>
      </c>
      <c r="E324">
        <f t="shared" si="29"/>
        <v>1053</v>
      </c>
      <c r="F324" s="2">
        <f t="shared" si="28"/>
        <v>14.329162124156674</v>
      </c>
      <c r="G324">
        <f t="shared" si="30"/>
        <v>1418</v>
      </c>
      <c r="H324" s="2">
        <f t="shared" si="31"/>
        <v>14.329162124156674</v>
      </c>
    </row>
    <row r="325" spans="1:9" x14ac:dyDescent="0.2">
      <c r="A325">
        <v>324</v>
      </c>
      <c r="B325">
        <v>38</v>
      </c>
      <c r="C325">
        <v>689</v>
      </c>
      <c r="D325">
        <v>12</v>
      </c>
      <c r="E325">
        <f t="shared" si="29"/>
        <v>1054</v>
      </c>
      <c r="F325" s="2">
        <f t="shared" si="28"/>
        <v>14.329162124156674</v>
      </c>
      <c r="G325">
        <f t="shared" si="30"/>
        <v>1419</v>
      </c>
      <c r="H325" s="2">
        <f t="shared" si="31"/>
        <v>14.329162124156674</v>
      </c>
    </row>
    <row r="326" spans="1:9" x14ac:dyDescent="0.2">
      <c r="A326">
        <v>325</v>
      </c>
      <c r="B326">
        <v>18</v>
      </c>
      <c r="C326">
        <v>690</v>
      </c>
      <c r="D326">
        <v>19</v>
      </c>
      <c r="E326">
        <f t="shared" si="29"/>
        <v>1055</v>
      </c>
      <c r="F326" s="2">
        <f t="shared" si="28"/>
        <v>14.329162124156674</v>
      </c>
      <c r="G326">
        <f t="shared" si="30"/>
        <v>1420</v>
      </c>
      <c r="H326" s="2">
        <f t="shared" si="31"/>
        <v>14.329162124156674</v>
      </c>
    </row>
    <row r="327" spans="1:9" x14ac:dyDescent="0.2">
      <c r="A327">
        <v>326</v>
      </c>
      <c r="B327">
        <v>7</v>
      </c>
      <c r="C327">
        <v>691</v>
      </c>
      <c r="D327">
        <v>12</v>
      </c>
      <c r="E327">
        <f t="shared" si="29"/>
        <v>1056</v>
      </c>
      <c r="F327" s="2">
        <f t="shared" si="28"/>
        <v>14.329162124156674</v>
      </c>
      <c r="G327">
        <f t="shared" si="30"/>
        <v>1421</v>
      </c>
      <c r="H327" s="2">
        <f t="shared" si="31"/>
        <v>14.329162124156674</v>
      </c>
    </row>
    <row r="328" spans="1:9" x14ac:dyDescent="0.2">
      <c r="A328">
        <v>327</v>
      </c>
      <c r="B328">
        <v>6</v>
      </c>
      <c r="C328">
        <v>692</v>
      </c>
      <c r="D328">
        <v>26</v>
      </c>
      <c r="E328">
        <f t="shared" si="29"/>
        <v>1057</v>
      </c>
      <c r="F328" s="2">
        <f t="shared" si="28"/>
        <v>14.329162124156674</v>
      </c>
      <c r="G328">
        <f t="shared" si="30"/>
        <v>1422</v>
      </c>
      <c r="H328" s="2">
        <f t="shared" si="31"/>
        <v>14.329162124156674</v>
      </c>
    </row>
    <row r="329" spans="1:9" x14ac:dyDescent="0.2">
      <c r="A329">
        <v>328</v>
      </c>
      <c r="B329">
        <v>5</v>
      </c>
      <c r="C329">
        <v>693</v>
      </c>
      <c r="D329">
        <v>11</v>
      </c>
      <c r="E329">
        <f t="shared" si="29"/>
        <v>1058</v>
      </c>
      <c r="F329" s="2">
        <f t="shared" si="28"/>
        <v>14.329162124156674</v>
      </c>
      <c r="G329">
        <f t="shared" si="30"/>
        <v>1423</v>
      </c>
      <c r="H329" s="2">
        <f t="shared" si="31"/>
        <v>14.329162124156674</v>
      </c>
    </row>
    <row r="330" spans="1:9" x14ac:dyDescent="0.2">
      <c r="A330">
        <v>329</v>
      </c>
      <c r="B330">
        <v>13</v>
      </c>
      <c r="C330">
        <v>694</v>
      </c>
      <c r="D330">
        <v>21</v>
      </c>
      <c r="E330">
        <f t="shared" si="29"/>
        <v>1059</v>
      </c>
      <c r="F330" s="2">
        <f t="shared" si="28"/>
        <v>14.329162124156674</v>
      </c>
      <c r="G330">
        <f t="shared" si="30"/>
        <v>1424</v>
      </c>
      <c r="H330" s="2">
        <f t="shared" si="31"/>
        <v>14.329162124156674</v>
      </c>
    </row>
    <row r="331" spans="1:9" x14ac:dyDescent="0.2">
      <c r="A331">
        <v>330</v>
      </c>
      <c r="B331">
        <v>19</v>
      </c>
      <c r="C331">
        <v>695</v>
      </c>
      <c r="D331">
        <v>9</v>
      </c>
      <c r="E331">
        <f t="shared" si="29"/>
        <v>1060</v>
      </c>
      <c r="F331" s="2">
        <f t="shared" si="28"/>
        <v>14.329162124156674</v>
      </c>
      <c r="G331">
        <f t="shared" si="30"/>
        <v>1425</v>
      </c>
      <c r="H331" s="2">
        <f t="shared" si="31"/>
        <v>14.329162124156674</v>
      </c>
    </row>
    <row r="332" spans="1:9" x14ac:dyDescent="0.2">
      <c r="A332">
        <v>331</v>
      </c>
      <c r="B332">
        <v>24</v>
      </c>
      <c r="C332">
        <v>696</v>
      </c>
      <c r="D332">
        <v>11</v>
      </c>
      <c r="E332">
        <f t="shared" si="29"/>
        <v>1061</v>
      </c>
      <c r="F332" s="2">
        <f t="shared" si="28"/>
        <v>14.329162124156674</v>
      </c>
      <c r="G332">
        <f t="shared" si="30"/>
        <v>1426</v>
      </c>
      <c r="H332" s="2">
        <f t="shared" si="31"/>
        <v>14.329162124156674</v>
      </c>
    </row>
    <row r="333" spans="1:9" x14ac:dyDescent="0.2">
      <c r="A333">
        <v>332</v>
      </c>
      <c r="B333">
        <v>6</v>
      </c>
      <c r="C333">
        <v>697</v>
      </c>
      <c r="D333">
        <v>6</v>
      </c>
      <c r="E333">
        <f t="shared" si="29"/>
        <v>1062</v>
      </c>
      <c r="F333" s="2">
        <f t="shared" si="28"/>
        <v>14.329162124156674</v>
      </c>
      <c r="G333">
        <f t="shared" si="30"/>
        <v>1427</v>
      </c>
      <c r="H333" s="2">
        <f t="shared" si="31"/>
        <v>14.329162124156674</v>
      </c>
    </row>
    <row r="334" spans="1:9" x14ac:dyDescent="0.2">
      <c r="A334">
        <v>333</v>
      </c>
      <c r="B334">
        <v>18</v>
      </c>
      <c r="C334">
        <v>698</v>
      </c>
      <c r="D334">
        <v>8</v>
      </c>
      <c r="E334">
        <f t="shared" si="29"/>
        <v>1063</v>
      </c>
      <c r="F334" s="2">
        <f t="shared" si="28"/>
        <v>14.329162124156674</v>
      </c>
      <c r="G334">
        <f t="shared" si="30"/>
        <v>1428</v>
      </c>
      <c r="H334" s="2">
        <f t="shared" si="31"/>
        <v>14.329162124156674</v>
      </c>
    </row>
    <row r="335" spans="1:9" x14ac:dyDescent="0.2">
      <c r="A335">
        <v>334</v>
      </c>
      <c r="B335">
        <v>2</v>
      </c>
      <c r="C335">
        <v>699</v>
      </c>
      <c r="D335">
        <v>10</v>
      </c>
      <c r="E335">
        <f t="shared" si="29"/>
        <v>1064</v>
      </c>
      <c r="F335" s="2">
        <f t="shared" si="28"/>
        <v>14.329162124156674</v>
      </c>
      <c r="G335">
        <f t="shared" si="30"/>
        <v>1429</v>
      </c>
      <c r="H335" s="2">
        <f t="shared" si="31"/>
        <v>14.329162124156674</v>
      </c>
    </row>
    <row r="336" spans="1:9" x14ac:dyDescent="0.2">
      <c r="A336">
        <v>335</v>
      </c>
      <c r="B336">
        <v>10</v>
      </c>
      <c r="C336">
        <v>700</v>
      </c>
      <c r="D336">
        <v>12</v>
      </c>
      <c r="E336">
        <f t="shared" si="29"/>
        <v>1065</v>
      </c>
      <c r="F336" s="2">
        <f t="shared" si="28"/>
        <v>14.329162124156674</v>
      </c>
      <c r="G336" s="6">
        <f t="shared" si="30"/>
        <v>1430</v>
      </c>
      <c r="H336" s="2">
        <f t="shared" si="31"/>
        <v>14.329162124156674</v>
      </c>
      <c r="I336" s="9">
        <f>H336*(1460-G336)/30</f>
        <v>14.329162124156674</v>
      </c>
    </row>
    <row r="337" spans="1:9" x14ac:dyDescent="0.2">
      <c r="A337">
        <v>336</v>
      </c>
      <c r="B337">
        <v>12</v>
      </c>
      <c r="C337">
        <v>701</v>
      </c>
      <c r="D337">
        <v>3</v>
      </c>
      <c r="E337">
        <f t="shared" si="29"/>
        <v>1066</v>
      </c>
      <c r="F337" s="2">
        <f t="shared" si="28"/>
        <v>14.329162124156674</v>
      </c>
      <c r="G337" s="6">
        <f t="shared" si="30"/>
        <v>1431</v>
      </c>
      <c r="H337" s="2">
        <f t="shared" si="31"/>
        <v>14.329162124156674</v>
      </c>
      <c r="I337" s="9">
        <f t="shared" ref="I337:I366" si="32">H337*(1460-G337)/30</f>
        <v>13.851523386684786</v>
      </c>
    </row>
    <row r="338" spans="1:9" x14ac:dyDescent="0.2">
      <c r="A338">
        <v>337</v>
      </c>
      <c r="B338">
        <v>11</v>
      </c>
      <c r="C338">
        <v>702</v>
      </c>
      <c r="D338">
        <v>38</v>
      </c>
      <c r="E338">
        <f t="shared" si="29"/>
        <v>1067</v>
      </c>
      <c r="F338" s="2">
        <f t="shared" si="28"/>
        <v>14.329162124156674</v>
      </c>
      <c r="G338" s="6">
        <f t="shared" si="30"/>
        <v>1432</v>
      </c>
      <c r="H338" s="2">
        <f t="shared" si="31"/>
        <v>14.329162124156674</v>
      </c>
      <c r="I338" s="9">
        <f t="shared" si="32"/>
        <v>13.373884649212895</v>
      </c>
    </row>
    <row r="339" spans="1:9" x14ac:dyDescent="0.2">
      <c r="A339">
        <v>338</v>
      </c>
      <c r="B339">
        <v>5</v>
      </c>
      <c r="C339">
        <v>703</v>
      </c>
      <c r="D339">
        <v>11</v>
      </c>
      <c r="E339">
        <f t="shared" si="29"/>
        <v>1068</v>
      </c>
      <c r="F339" s="2">
        <f t="shared" si="28"/>
        <v>14.329162124156674</v>
      </c>
      <c r="G339" s="6">
        <f t="shared" si="30"/>
        <v>1433</v>
      </c>
      <c r="H339" s="2">
        <f t="shared" si="31"/>
        <v>14.329162124156674</v>
      </c>
      <c r="I339" s="9">
        <f t="shared" si="32"/>
        <v>12.896245911741007</v>
      </c>
    </row>
    <row r="340" spans="1:9" x14ac:dyDescent="0.2">
      <c r="A340">
        <v>339</v>
      </c>
      <c r="B340">
        <v>4</v>
      </c>
      <c r="C340">
        <v>704</v>
      </c>
      <c r="D340">
        <v>13</v>
      </c>
      <c r="E340">
        <f t="shared" si="29"/>
        <v>1069</v>
      </c>
      <c r="F340" s="2">
        <f t="shared" si="28"/>
        <v>14.329162124156674</v>
      </c>
      <c r="G340" s="6">
        <f t="shared" si="30"/>
        <v>1434</v>
      </c>
      <c r="H340" s="2">
        <f t="shared" si="31"/>
        <v>14.329162124156674</v>
      </c>
      <c r="I340" s="9">
        <f t="shared" si="32"/>
        <v>12.418607174269118</v>
      </c>
    </row>
    <row r="341" spans="1:9" x14ac:dyDescent="0.2">
      <c r="A341">
        <v>340</v>
      </c>
      <c r="B341">
        <v>26</v>
      </c>
      <c r="C341">
        <v>705</v>
      </c>
      <c r="D341">
        <v>2</v>
      </c>
      <c r="E341">
        <f t="shared" si="29"/>
        <v>1070</v>
      </c>
      <c r="F341" s="2">
        <f t="shared" si="28"/>
        <v>14.329162124156674</v>
      </c>
      <c r="G341" s="6">
        <f t="shared" si="30"/>
        <v>1435</v>
      </c>
      <c r="H341" s="2">
        <f t="shared" si="31"/>
        <v>14.329162124156674</v>
      </c>
      <c r="I341" s="9">
        <f t="shared" si="32"/>
        <v>11.940968436797228</v>
      </c>
    </row>
    <row r="342" spans="1:9" x14ac:dyDescent="0.2">
      <c r="A342">
        <v>341</v>
      </c>
      <c r="B342">
        <v>2</v>
      </c>
      <c r="C342">
        <v>706</v>
      </c>
      <c r="D342">
        <v>23</v>
      </c>
      <c r="E342">
        <f t="shared" si="29"/>
        <v>1071</v>
      </c>
      <c r="F342" s="2">
        <f t="shared" si="28"/>
        <v>14.329162124156674</v>
      </c>
      <c r="G342" s="6">
        <f t="shared" si="30"/>
        <v>1436</v>
      </c>
      <c r="H342" s="2">
        <f t="shared" si="31"/>
        <v>14.329162124156674</v>
      </c>
      <c r="I342" s="9">
        <f t="shared" si="32"/>
        <v>11.463329699325339</v>
      </c>
    </row>
    <row r="343" spans="1:9" x14ac:dyDescent="0.2">
      <c r="A343">
        <v>342</v>
      </c>
      <c r="B343">
        <v>14</v>
      </c>
      <c r="C343">
        <v>707</v>
      </c>
      <c r="D343">
        <v>9</v>
      </c>
      <c r="E343">
        <f t="shared" si="29"/>
        <v>1072</v>
      </c>
      <c r="F343" s="2">
        <f t="shared" si="28"/>
        <v>14.329162124156674</v>
      </c>
      <c r="G343" s="6">
        <f t="shared" si="30"/>
        <v>1437</v>
      </c>
      <c r="H343" s="2">
        <f t="shared" si="31"/>
        <v>14.329162124156674</v>
      </c>
      <c r="I343" s="9">
        <f t="shared" si="32"/>
        <v>10.985690961853452</v>
      </c>
    </row>
    <row r="344" spans="1:9" x14ac:dyDescent="0.2">
      <c r="A344">
        <v>343</v>
      </c>
      <c r="B344">
        <v>31</v>
      </c>
      <c r="C344">
        <v>708</v>
      </c>
      <c r="D344">
        <v>5</v>
      </c>
      <c r="E344">
        <f t="shared" si="29"/>
        <v>1073</v>
      </c>
      <c r="F344" s="2">
        <f t="shared" si="28"/>
        <v>14.329162124156674</v>
      </c>
      <c r="G344" s="6">
        <f t="shared" si="30"/>
        <v>1438</v>
      </c>
      <c r="H344" s="2">
        <f t="shared" si="31"/>
        <v>14.329162124156674</v>
      </c>
      <c r="I344" s="9">
        <f t="shared" si="32"/>
        <v>10.508052224381562</v>
      </c>
    </row>
    <row r="345" spans="1:9" x14ac:dyDescent="0.2">
      <c r="A345">
        <v>344</v>
      </c>
      <c r="B345">
        <v>28</v>
      </c>
      <c r="C345">
        <v>709</v>
      </c>
      <c r="D345">
        <v>10</v>
      </c>
      <c r="E345">
        <f t="shared" si="29"/>
        <v>1074</v>
      </c>
      <c r="F345" s="2">
        <f t="shared" si="28"/>
        <v>14.329162124156674</v>
      </c>
      <c r="G345" s="6">
        <f t="shared" si="30"/>
        <v>1439</v>
      </c>
      <c r="H345" s="2">
        <f t="shared" si="31"/>
        <v>14.329162124156674</v>
      </c>
      <c r="I345" s="9">
        <f t="shared" si="32"/>
        <v>10.030413486909673</v>
      </c>
    </row>
    <row r="346" spans="1:9" x14ac:dyDescent="0.2">
      <c r="A346">
        <v>345</v>
      </c>
      <c r="B346">
        <v>5</v>
      </c>
      <c r="C346">
        <v>710</v>
      </c>
      <c r="D346">
        <v>9</v>
      </c>
      <c r="E346">
        <f t="shared" si="29"/>
        <v>1075</v>
      </c>
      <c r="F346" s="2">
        <f t="shared" si="28"/>
        <v>14.329162124156674</v>
      </c>
      <c r="G346" s="6">
        <f t="shared" si="30"/>
        <v>1440</v>
      </c>
      <c r="H346" s="2">
        <f t="shared" si="31"/>
        <v>14.329162124156674</v>
      </c>
      <c r="I346" s="9">
        <f t="shared" si="32"/>
        <v>9.5527747494377842</v>
      </c>
    </row>
    <row r="347" spans="1:9" x14ac:dyDescent="0.2">
      <c r="A347">
        <v>346</v>
      </c>
      <c r="B347">
        <v>3</v>
      </c>
      <c r="C347">
        <v>711</v>
      </c>
      <c r="D347">
        <v>10</v>
      </c>
      <c r="E347">
        <f t="shared" si="29"/>
        <v>1076</v>
      </c>
      <c r="F347" s="2">
        <f t="shared" si="28"/>
        <v>14.329162124156674</v>
      </c>
      <c r="G347" s="6">
        <f t="shared" si="30"/>
        <v>1441</v>
      </c>
      <c r="H347" s="2">
        <f t="shared" si="31"/>
        <v>14.329162124156674</v>
      </c>
      <c r="I347" s="9">
        <f t="shared" si="32"/>
        <v>9.0751360119658937</v>
      </c>
    </row>
    <row r="348" spans="1:9" x14ac:dyDescent="0.2">
      <c r="A348">
        <v>347</v>
      </c>
      <c r="B348">
        <v>4</v>
      </c>
      <c r="C348">
        <v>712</v>
      </c>
      <c r="D348">
        <v>11</v>
      </c>
      <c r="E348">
        <f t="shared" si="29"/>
        <v>1077</v>
      </c>
      <c r="F348" s="2">
        <f t="shared" si="28"/>
        <v>14.329162124156674</v>
      </c>
      <c r="G348" s="6">
        <f t="shared" si="30"/>
        <v>1442</v>
      </c>
      <c r="H348" s="2">
        <f t="shared" si="31"/>
        <v>14.329162124156674</v>
      </c>
      <c r="I348" s="9">
        <f t="shared" si="32"/>
        <v>8.597497274494005</v>
      </c>
    </row>
    <row r="349" spans="1:9" x14ac:dyDescent="0.2">
      <c r="A349">
        <v>348</v>
      </c>
      <c r="B349">
        <v>4</v>
      </c>
      <c r="C349">
        <v>713</v>
      </c>
      <c r="D349">
        <v>9</v>
      </c>
      <c r="E349">
        <f t="shared" si="29"/>
        <v>1078</v>
      </c>
      <c r="F349" s="2">
        <f t="shared" si="28"/>
        <v>14.329162124156674</v>
      </c>
      <c r="G349" s="6">
        <f t="shared" si="30"/>
        <v>1443</v>
      </c>
      <c r="H349" s="2">
        <f t="shared" si="31"/>
        <v>14.329162124156674</v>
      </c>
      <c r="I349" s="9">
        <f t="shared" si="32"/>
        <v>8.1198585370221164</v>
      </c>
    </row>
    <row r="350" spans="1:9" x14ac:dyDescent="0.2">
      <c r="A350">
        <v>349</v>
      </c>
      <c r="B350">
        <v>10</v>
      </c>
      <c r="C350">
        <v>714</v>
      </c>
      <c r="D350">
        <v>5</v>
      </c>
      <c r="E350">
        <f t="shared" si="29"/>
        <v>1079</v>
      </c>
      <c r="F350" s="2">
        <f t="shared" si="28"/>
        <v>14.329162124156674</v>
      </c>
      <c r="G350" s="6">
        <f t="shared" si="30"/>
        <v>1444</v>
      </c>
      <c r="H350" s="2">
        <f t="shared" si="31"/>
        <v>14.329162124156674</v>
      </c>
      <c r="I350" s="9">
        <f t="shared" si="32"/>
        <v>7.6422197995502268</v>
      </c>
    </row>
    <row r="351" spans="1:9" x14ac:dyDescent="0.2">
      <c r="A351">
        <v>350</v>
      </c>
      <c r="B351">
        <v>3</v>
      </c>
      <c r="C351">
        <v>715</v>
      </c>
      <c r="D351">
        <v>6</v>
      </c>
      <c r="E351">
        <f t="shared" si="29"/>
        <v>1080</v>
      </c>
      <c r="F351" s="2">
        <f t="shared" si="28"/>
        <v>14.329162124156674</v>
      </c>
      <c r="G351" s="6">
        <f t="shared" si="30"/>
        <v>1445</v>
      </c>
      <c r="H351" s="2">
        <f t="shared" si="31"/>
        <v>14.329162124156674</v>
      </c>
      <c r="I351" s="9">
        <f t="shared" si="32"/>
        <v>7.1645810620783372</v>
      </c>
    </row>
    <row r="352" spans="1:9" x14ac:dyDescent="0.2">
      <c r="A352">
        <v>351</v>
      </c>
      <c r="B352">
        <v>2</v>
      </c>
      <c r="C352">
        <v>716</v>
      </c>
      <c r="D352">
        <v>27</v>
      </c>
      <c r="E352">
        <f t="shared" si="29"/>
        <v>1081</v>
      </c>
      <c r="F352" s="2">
        <f t="shared" si="28"/>
        <v>14.329162124156674</v>
      </c>
      <c r="G352" s="6">
        <f t="shared" si="30"/>
        <v>1446</v>
      </c>
      <c r="H352" s="2">
        <f t="shared" si="31"/>
        <v>14.329162124156674</v>
      </c>
      <c r="I352" s="9">
        <f t="shared" si="32"/>
        <v>6.6869423246064477</v>
      </c>
    </row>
    <row r="353" spans="1:9" x14ac:dyDescent="0.2">
      <c r="A353">
        <v>352</v>
      </c>
      <c r="B353">
        <v>3</v>
      </c>
      <c r="C353">
        <v>717</v>
      </c>
      <c r="D353">
        <v>3</v>
      </c>
      <c r="E353">
        <f t="shared" si="29"/>
        <v>1082</v>
      </c>
      <c r="F353" s="2">
        <f t="shared" si="28"/>
        <v>14.329162124156674</v>
      </c>
      <c r="G353" s="6">
        <f t="shared" si="30"/>
        <v>1447</v>
      </c>
      <c r="H353" s="2">
        <f t="shared" si="31"/>
        <v>14.329162124156674</v>
      </c>
      <c r="I353" s="9">
        <f t="shared" si="32"/>
        <v>6.209303587134559</v>
      </c>
    </row>
    <row r="354" spans="1:9" x14ac:dyDescent="0.2">
      <c r="A354">
        <v>353</v>
      </c>
      <c r="B354">
        <v>29</v>
      </c>
      <c r="C354">
        <v>718</v>
      </c>
      <c r="D354">
        <v>1</v>
      </c>
      <c r="E354">
        <f t="shared" si="29"/>
        <v>1083</v>
      </c>
      <c r="F354" s="2">
        <f t="shared" si="28"/>
        <v>14.329162124156674</v>
      </c>
      <c r="G354" s="6">
        <f t="shared" si="30"/>
        <v>1448</v>
      </c>
      <c r="H354" s="2">
        <f t="shared" si="31"/>
        <v>14.329162124156674</v>
      </c>
      <c r="I354" s="9">
        <f t="shared" si="32"/>
        <v>5.7316648496626694</v>
      </c>
    </row>
    <row r="355" spans="1:9" x14ac:dyDescent="0.2">
      <c r="A355">
        <v>354</v>
      </c>
      <c r="B355">
        <v>15</v>
      </c>
      <c r="C355">
        <v>719</v>
      </c>
      <c r="D355">
        <v>4</v>
      </c>
      <c r="E355">
        <f t="shared" si="29"/>
        <v>1084</v>
      </c>
      <c r="F355" s="2">
        <f t="shared" si="28"/>
        <v>14.329162124156674</v>
      </c>
      <c r="G355" s="6">
        <f t="shared" si="30"/>
        <v>1449</v>
      </c>
      <c r="H355" s="2">
        <f t="shared" si="31"/>
        <v>14.329162124156674</v>
      </c>
      <c r="I355" s="9">
        <f t="shared" si="32"/>
        <v>5.2540261121907808</v>
      </c>
    </row>
    <row r="356" spans="1:9" x14ac:dyDescent="0.2">
      <c r="A356">
        <v>355</v>
      </c>
      <c r="B356">
        <v>4</v>
      </c>
      <c r="C356">
        <v>720</v>
      </c>
      <c r="D356">
        <v>27</v>
      </c>
      <c r="E356">
        <f t="shared" si="29"/>
        <v>1085</v>
      </c>
      <c r="F356" s="2">
        <f t="shared" si="28"/>
        <v>14.329162124156674</v>
      </c>
      <c r="G356" s="6">
        <f t="shared" si="30"/>
        <v>1450</v>
      </c>
      <c r="H356" s="2">
        <f t="shared" si="31"/>
        <v>14.329162124156674</v>
      </c>
      <c r="I356" s="9">
        <f t="shared" si="32"/>
        <v>4.7763873747188921</v>
      </c>
    </row>
    <row r="357" spans="1:9" x14ac:dyDescent="0.2">
      <c r="A357">
        <v>356</v>
      </c>
      <c r="B357">
        <v>5</v>
      </c>
      <c r="C357">
        <v>721</v>
      </c>
      <c r="D357">
        <v>2</v>
      </c>
      <c r="E357">
        <f t="shared" si="29"/>
        <v>1086</v>
      </c>
      <c r="F357" s="2">
        <f t="shared" si="28"/>
        <v>14.329162124156674</v>
      </c>
      <c r="G357" s="6">
        <f t="shared" si="30"/>
        <v>1451</v>
      </c>
      <c r="H357" s="2">
        <f t="shared" si="31"/>
        <v>14.329162124156674</v>
      </c>
      <c r="I357" s="9">
        <f t="shared" si="32"/>
        <v>4.2987486372470025</v>
      </c>
    </row>
    <row r="358" spans="1:9" x14ac:dyDescent="0.2">
      <c r="A358">
        <v>357</v>
      </c>
      <c r="B358">
        <v>7</v>
      </c>
      <c r="C358">
        <v>722</v>
      </c>
      <c r="D358">
        <v>13</v>
      </c>
      <c r="E358">
        <f t="shared" si="29"/>
        <v>1087</v>
      </c>
      <c r="F358" s="2">
        <f t="shared" si="28"/>
        <v>14.329162124156674</v>
      </c>
      <c r="G358" s="6">
        <f t="shared" si="30"/>
        <v>1452</v>
      </c>
      <c r="H358" s="2">
        <f t="shared" si="31"/>
        <v>14.329162124156674</v>
      </c>
      <c r="I358" s="9">
        <f t="shared" si="32"/>
        <v>3.8211098997751134</v>
      </c>
    </row>
    <row r="359" spans="1:9" x14ac:dyDescent="0.2">
      <c r="A359">
        <v>358</v>
      </c>
      <c r="B359">
        <v>1</v>
      </c>
      <c r="C359">
        <v>723</v>
      </c>
      <c r="D359">
        <v>1</v>
      </c>
      <c r="E359">
        <f t="shared" si="29"/>
        <v>1088</v>
      </c>
      <c r="F359" s="2">
        <f t="shared" ref="F359:F366" si="33">$P$22</f>
        <v>14.329162124156674</v>
      </c>
      <c r="G359" s="6">
        <f t="shared" si="30"/>
        <v>1453</v>
      </c>
      <c r="H359" s="2">
        <f t="shared" si="31"/>
        <v>14.329162124156674</v>
      </c>
      <c r="I359" s="9">
        <f t="shared" si="32"/>
        <v>3.3434711623032238</v>
      </c>
    </row>
    <row r="360" spans="1:9" x14ac:dyDescent="0.2">
      <c r="A360">
        <v>359</v>
      </c>
      <c r="B360">
        <v>41</v>
      </c>
      <c r="C360">
        <v>724</v>
      </c>
      <c r="D360">
        <v>27</v>
      </c>
      <c r="E360">
        <f t="shared" si="29"/>
        <v>1089</v>
      </c>
      <c r="F360" s="2">
        <f t="shared" si="33"/>
        <v>14.329162124156674</v>
      </c>
      <c r="G360" s="6">
        <f t="shared" si="30"/>
        <v>1454</v>
      </c>
      <c r="H360" s="2">
        <f t="shared" si="31"/>
        <v>14.329162124156674</v>
      </c>
      <c r="I360" s="9">
        <f t="shared" si="32"/>
        <v>2.8658324248313347</v>
      </c>
    </row>
    <row r="361" spans="1:9" x14ac:dyDescent="0.2">
      <c r="A361">
        <v>360</v>
      </c>
      <c r="B361">
        <v>3</v>
      </c>
      <c r="C361">
        <v>725</v>
      </c>
      <c r="D361">
        <v>3</v>
      </c>
      <c r="E361">
        <f t="shared" si="29"/>
        <v>1090</v>
      </c>
      <c r="F361" s="2">
        <f t="shared" si="33"/>
        <v>14.329162124156674</v>
      </c>
      <c r="G361" s="6">
        <f t="shared" si="30"/>
        <v>1455</v>
      </c>
      <c r="H361" s="2">
        <f t="shared" si="31"/>
        <v>14.329162124156674</v>
      </c>
      <c r="I361" s="9">
        <f t="shared" si="32"/>
        <v>2.388193687359446</v>
      </c>
    </row>
    <row r="362" spans="1:9" x14ac:dyDescent="0.2">
      <c r="A362">
        <v>361</v>
      </c>
      <c r="B362">
        <v>3</v>
      </c>
      <c r="C362">
        <v>726</v>
      </c>
      <c r="D362">
        <v>17</v>
      </c>
      <c r="E362">
        <f t="shared" si="29"/>
        <v>1091</v>
      </c>
      <c r="F362" s="2">
        <f t="shared" si="33"/>
        <v>14.329162124156674</v>
      </c>
      <c r="G362" s="6">
        <f t="shared" si="30"/>
        <v>1456</v>
      </c>
      <c r="H362" s="2">
        <f t="shared" si="31"/>
        <v>14.329162124156674</v>
      </c>
      <c r="I362" s="9">
        <f t="shared" si="32"/>
        <v>1.9105549498875567</v>
      </c>
    </row>
    <row r="363" spans="1:9" x14ac:dyDescent="0.2">
      <c r="A363">
        <v>362</v>
      </c>
      <c r="B363">
        <v>6</v>
      </c>
      <c r="C363">
        <v>727</v>
      </c>
      <c r="D363">
        <v>2</v>
      </c>
      <c r="E363">
        <f t="shared" si="29"/>
        <v>1092</v>
      </c>
      <c r="F363" s="2">
        <f t="shared" si="33"/>
        <v>14.329162124156674</v>
      </c>
      <c r="G363" s="6">
        <f t="shared" si="30"/>
        <v>1457</v>
      </c>
      <c r="H363" s="2">
        <f t="shared" si="31"/>
        <v>14.329162124156674</v>
      </c>
      <c r="I363" s="9">
        <f t="shared" si="32"/>
        <v>1.4329162124156674</v>
      </c>
    </row>
    <row r="364" spans="1:9" x14ac:dyDescent="0.2">
      <c r="A364">
        <v>363</v>
      </c>
      <c r="B364">
        <v>12</v>
      </c>
      <c r="C364">
        <v>728</v>
      </c>
      <c r="D364">
        <v>8</v>
      </c>
      <c r="E364">
        <f t="shared" si="29"/>
        <v>1093</v>
      </c>
      <c r="F364" s="2">
        <f t="shared" si="33"/>
        <v>14.329162124156674</v>
      </c>
      <c r="G364" s="6">
        <f t="shared" si="30"/>
        <v>1458</v>
      </c>
      <c r="H364" s="2">
        <f t="shared" si="31"/>
        <v>14.329162124156674</v>
      </c>
      <c r="I364" s="9">
        <f t="shared" si="32"/>
        <v>0.95527747494377835</v>
      </c>
    </row>
    <row r="365" spans="1:9" x14ac:dyDescent="0.2">
      <c r="A365">
        <v>364</v>
      </c>
      <c r="B365">
        <v>10</v>
      </c>
      <c r="C365">
        <v>729</v>
      </c>
      <c r="D365">
        <v>4</v>
      </c>
      <c r="E365">
        <f t="shared" si="29"/>
        <v>1094</v>
      </c>
      <c r="F365" s="2">
        <f t="shared" si="33"/>
        <v>14.329162124156674</v>
      </c>
      <c r="G365" s="6">
        <f t="shared" si="30"/>
        <v>1459</v>
      </c>
      <c r="H365" s="2">
        <f t="shared" si="31"/>
        <v>14.329162124156674</v>
      </c>
      <c r="I365" s="9">
        <f t="shared" si="32"/>
        <v>0.47763873747188917</v>
      </c>
    </row>
    <row r="366" spans="1:9" x14ac:dyDescent="0.2">
      <c r="A366">
        <v>365</v>
      </c>
      <c r="B366">
        <v>14</v>
      </c>
      <c r="C366">
        <v>730</v>
      </c>
      <c r="D366">
        <v>10</v>
      </c>
      <c r="E366">
        <f t="shared" si="29"/>
        <v>1095</v>
      </c>
      <c r="F366" s="2">
        <f t="shared" si="33"/>
        <v>14.329162124156674</v>
      </c>
      <c r="G366" s="6">
        <f t="shared" si="30"/>
        <v>1460</v>
      </c>
      <c r="H366" s="2">
        <f t="shared" si="31"/>
        <v>14.329162124156674</v>
      </c>
      <c r="I366" s="9">
        <f t="shared" si="32"/>
        <v>0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A9D9-5EE5-254C-AC67-20BEC16D5068}">
  <dimension ref="A1:K731"/>
  <sheetViews>
    <sheetView workbookViewId="0">
      <selection activeCell="A731" sqref="A731"/>
    </sheetView>
  </sheetViews>
  <sheetFormatPr baseColWidth="10" defaultRowHeight="16" x14ac:dyDescent="0.2"/>
  <cols>
    <col min="5" max="6" width="10.83203125" style="7"/>
    <col min="8" max="8" width="16.5" bestFit="1" customWidth="1"/>
  </cols>
  <sheetData>
    <row r="1" spans="1:11" x14ac:dyDescent="0.2">
      <c r="A1" t="s">
        <v>0</v>
      </c>
      <c r="B1" t="s">
        <v>2</v>
      </c>
      <c r="C1" t="s">
        <v>32</v>
      </c>
      <c r="D1" t="s">
        <v>29</v>
      </c>
      <c r="E1" s="7" t="s">
        <v>31</v>
      </c>
      <c r="F1" s="7" t="s">
        <v>28</v>
      </c>
      <c r="H1" t="s">
        <v>63</v>
      </c>
    </row>
    <row r="2" spans="1:11" x14ac:dyDescent="0.2">
      <c r="A2">
        <v>1</v>
      </c>
      <c r="B2">
        <v>0</v>
      </c>
      <c r="C2">
        <f>A2+730</f>
        <v>731</v>
      </c>
      <c r="D2">
        <f>C2-640+1</f>
        <v>92</v>
      </c>
      <c r="E2" s="7">
        <f>$I$16*D2+$I$17</f>
        <v>14.142857142857142</v>
      </c>
      <c r="I2" t="s">
        <v>9</v>
      </c>
      <c r="J2" t="s">
        <v>10</v>
      </c>
      <c r="K2" t="s">
        <v>23</v>
      </c>
    </row>
    <row r="3" spans="1:11" x14ac:dyDescent="0.2">
      <c r="A3">
        <v>2</v>
      </c>
      <c r="B3">
        <v>0</v>
      </c>
      <c r="C3">
        <f t="shared" ref="C3:C66" si="0">A3+730</f>
        <v>732</v>
      </c>
      <c r="D3">
        <f t="shared" ref="D3:D66" si="1">C3-640+1</f>
        <v>93</v>
      </c>
      <c r="E3" s="7">
        <f t="shared" ref="E3:E66" si="2">$I$16*D3+$I$17</f>
        <v>14.295508838987098</v>
      </c>
      <c r="H3" s="3" t="s">
        <v>20</v>
      </c>
      <c r="I3">
        <f>731</f>
        <v>731</v>
      </c>
      <c r="J3">
        <f>I3+72</f>
        <v>803</v>
      </c>
      <c r="K3" s="2">
        <f>AVERAGE($E$2:$E$74)</f>
        <v>19.638318203535597</v>
      </c>
    </row>
    <row r="4" spans="1:11" x14ac:dyDescent="0.2">
      <c r="A4">
        <v>3</v>
      </c>
      <c r="B4">
        <v>0</v>
      </c>
      <c r="C4">
        <f t="shared" si="0"/>
        <v>733</v>
      </c>
      <c r="D4">
        <f t="shared" si="1"/>
        <v>94</v>
      </c>
      <c r="E4" s="7">
        <f t="shared" si="2"/>
        <v>14.448160535117056</v>
      </c>
      <c r="H4" s="3" t="s">
        <v>16</v>
      </c>
      <c r="I4">
        <f>J3+1</f>
        <v>804</v>
      </c>
      <c r="J4">
        <f>I4+72</f>
        <v>876</v>
      </c>
      <c r="K4" s="2">
        <f>AVERAGE($E$75:$E$147)</f>
        <v>30.781892021022454</v>
      </c>
    </row>
    <row r="5" spans="1:11" x14ac:dyDescent="0.2">
      <c r="A5">
        <v>4</v>
      </c>
      <c r="B5">
        <v>0</v>
      </c>
      <c r="C5">
        <f t="shared" si="0"/>
        <v>734</v>
      </c>
      <c r="D5">
        <f t="shared" si="1"/>
        <v>95</v>
      </c>
      <c r="E5" s="7">
        <f t="shared" si="2"/>
        <v>14.600812231247012</v>
      </c>
      <c r="H5" s="3" t="s">
        <v>8</v>
      </c>
      <c r="I5">
        <f>J4+1</f>
        <v>877</v>
      </c>
      <c r="J5">
        <f t="shared" ref="J5:J11" si="3">I5+72</f>
        <v>949</v>
      </c>
      <c r="K5" s="2">
        <f>AVERAGE($E$148:$E$220)</f>
        <v>41.925465838509311</v>
      </c>
    </row>
    <row r="6" spans="1:11" x14ac:dyDescent="0.2">
      <c r="A6">
        <v>5</v>
      </c>
      <c r="B6">
        <v>0</v>
      </c>
      <c r="C6">
        <f t="shared" si="0"/>
        <v>735</v>
      </c>
      <c r="D6">
        <f t="shared" si="1"/>
        <v>96</v>
      </c>
      <c r="E6" s="7">
        <f t="shared" si="2"/>
        <v>14.75346392737697</v>
      </c>
      <c r="H6" s="3" t="s">
        <v>17</v>
      </c>
      <c r="I6">
        <f t="shared" ref="I6:I13" si="4">J5+1</f>
        <v>950</v>
      </c>
      <c r="J6">
        <f t="shared" si="3"/>
        <v>1022</v>
      </c>
      <c r="K6" s="2">
        <f>AVERAGE($E$221:$E$293)</f>
        <v>53.069039655996171</v>
      </c>
    </row>
    <row r="7" spans="1:11" x14ac:dyDescent="0.2">
      <c r="A7">
        <v>6</v>
      </c>
      <c r="B7">
        <v>0</v>
      </c>
      <c r="C7">
        <f t="shared" si="0"/>
        <v>736</v>
      </c>
      <c r="D7">
        <f t="shared" si="1"/>
        <v>97</v>
      </c>
      <c r="E7" s="7">
        <f t="shared" si="2"/>
        <v>14.906115623506928</v>
      </c>
      <c r="H7" s="3" t="s">
        <v>21</v>
      </c>
      <c r="I7">
        <f t="shared" si="4"/>
        <v>1023</v>
      </c>
      <c r="J7">
        <f t="shared" si="3"/>
        <v>1095</v>
      </c>
      <c r="K7" s="2">
        <f>AVERAGE($E$294:$E$366)</f>
        <v>64.212613473483032</v>
      </c>
    </row>
    <row r="8" spans="1:11" x14ac:dyDescent="0.2">
      <c r="A8">
        <v>7</v>
      </c>
      <c r="B8">
        <v>0</v>
      </c>
      <c r="C8">
        <f t="shared" si="0"/>
        <v>737</v>
      </c>
      <c r="D8">
        <f t="shared" si="1"/>
        <v>98</v>
      </c>
      <c r="E8" s="7">
        <f t="shared" si="2"/>
        <v>15.058767319636884</v>
      </c>
      <c r="H8" s="4" t="s">
        <v>20</v>
      </c>
      <c r="I8">
        <f t="shared" si="4"/>
        <v>1096</v>
      </c>
      <c r="J8">
        <f t="shared" si="3"/>
        <v>1168</v>
      </c>
      <c r="K8" s="2">
        <f>AVERAGE($E$367:$E$439)</f>
        <v>75.356187290969885</v>
      </c>
    </row>
    <row r="9" spans="1:11" x14ac:dyDescent="0.2">
      <c r="A9">
        <v>8</v>
      </c>
      <c r="B9">
        <v>0</v>
      </c>
      <c r="C9">
        <f t="shared" si="0"/>
        <v>738</v>
      </c>
      <c r="D9">
        <f t="shared" si="1"/>
        <v>99</v>
      </c>
      <c r="E9" s="7">
        <f t="shared" si="2"/>
        <v>15.211419015766841</v>
      </c>
      <c r="H9" s="4" t="s">
        <v>16</v>
      </c>
      <c r="I9">
        <f t="shared" si="4"/>
        <v>1169</v>
      </c>
      <c r="J9">
        <f t="shared" si="3"/>
        <v>1241</v>
      </c>
      <c r="K9" s="2">
        <f>AVERAGE($E$440:$E$512)</f>
        <v>86.499761108456752</v>
      </c>
    </row>
    <row r="10" spans="1:11" x14ac:dyDescent="0.2">
      <c r="A10">
        <v>9</v>
      </c>
      <c r="B10">
        <v>0</v>
      </c>
      <c r="C10">
        <f t="shared" si="0"/>
        <v>739</v>
      </c>
      <c r="D10">
        <f t="shared" si="1"/>
        <v>100</v>
      </c>
      <c r="E10" s="7">
        <f t="shared" si="2"/>
        <v>15.364070711896797</v>
      </c>
      <c r="H10" s="4" t="s">
        <v>8</v>
      </c>
      <c r="I10">
        <f t="shared" si="4"/>
        <v>1242</v>
      </c>
      <c r="J10">
        <f t="shared" si="3"/>
        <v>1314</v>
      </c>
      <c r="K10" s="2">
        <f>AVERAGE($E$513:$E$585)</f>
        <v>97.64333492594362</v>
      </c>
    </row>
    <row r="11" spans="1:11" x14ac:dyDescent="0.2">
      <c r="A11">
        <v>10</v>
      </c>
      <c r="B11">
        <v>0</v>
      </c>
      <c r="C11">
        <f t="shared" si="0"/>
        <v>740</v>
      </c>
      <c r="D11">
        <f t="shared" si="1"/>
        <v>101</v>
      </c>
      <c r="E11" s="7">
        <f t="shared" si="2"/>
        <v>15.516722408026755</v>
      </c>
      <c r="H11" s="4" t="s">
        <v>17</v>
      </c>
      <c r="I11">
        <f t="shared" si="4"/>
        <v>1315</v>
      </c>
      <c r="J11">
        <f t="shared" si="3"/>
        <v>1387</v>
      </c>
      <c r="K11" s="2">
        <f>AVERAGE($E$586:$E$658)</f>
        <v>108.78690874343046</v>
      </c>
    </row>
    <row r="12" spans="1:11" x14ac:dyDescent="0.2">
      <c r="A12">
        <v>11</v>
      </c>
      <c r="B12">
        <v>0</v>
      </c>
      <c r="C12">
        <f t="shared" si="0"/>
        <v>741</v>
      </c>
      <c r="D12">
        <f t="shared" si="1"/>
        <v>102</v>
      </c>
      <c r="E12" s="7">
        <f t="shared" si="2"/>
        <v>15.669374104156711</v>
      </c>
      <c r="H12" s="4" t="s">
        <v>21</v>
      </c>
      <c r="I12">
        <f t="shared" si="4"/>
        <v>1388</v>
      </c>
      <c r="J12">
        <f>I12+41</f>
        <v>1429</v>
      </c>
      <c r="K12" s="2">
        <f>AVERAGE($E$659:$E$700)</f>
        <v>117.56438127090298</v>
      </c>
    </row>
    <row r="13" spans="1:11" x14ac:dyDescent="0.2">
      <c r="A13">
        <v>12</v>
      </c>
      <c r="B13">
        <v>0</v>
      </c>
      <c r="C13">
        <f t="shared" si="0"/>
        <v>742</v>
      </c>
      <c r="D13">
        <f t="shared" si="1"/>
        <v>103</v>
      </c>
      <c r="E13" s="7">
        <f t="shared" si="2"/>
        <v>15.822025800286669</v>
      </c>
      <c r="H13" s="6" t="s">
        <v>48</v>
      </c>
      <c r="I13">
        <f t="shared" si="4"/>
        <v>1430</v>
      </c>
      <c r="J13">
        <f>I13+30</f>
        <v>1460</v>
      </c>
      <c r="K13" s="11">
        <f>AVERAGE($F$701:$F$731)</f>
        <v>61.161012900143341</v>
      </c>
    </row>
    <row r="14" spans="1:11" x14ac:dyDescent="0.2">
      <c r="A14">
        <v>13</v>
      </c>
      <c r="B14">
        <v>0</v>
      </c>
      <c r="C14">
        <f t="shared" si="0"/>
        <v>743</v>
      </c>
      <c r="D14">
        <f t="shared" si="1"/>
        <v>104</v>
      </c>
      <c r="E14" s="7">
        <f t="shared" si="2"/>
        <v>15.974677496416625</v>
      </c>
    </row>
    <row r="15" spans="1:11" x14ac:dyDescent="0.2">
      <c r="A15">
        <v>14</v>
      </c>
      <c r="B15">
        <v>0</v>
      </c>
      <c r="C15">
        <f t="shared" si="0"/>
        <v>744</v>
      </c>
      <c r="D15">
        <f t="shared" si="1"/>
        <v>105</v>
      </c>
      <c r="E15" s="7">
        <f t="shared" si="2"/>
        <v>16.127329192546583</v>
      </c>
      <c r="H15" s="33" t="s">
        <v>159</v>
      </c>
      <c r="I15" s="2"/>
    </row>
    <row r="16" spans="1:11" x14ac:dyDescent="0.2">
      <c r="A16">
        <v>15</v>
      </c>
      <c r="B16">
        <v>0</v>
      </c>
      <c r="C16">
        <f t="shared" si="0"/>
        <v>745</v>
      </c>
      <c r="D16">
        <f t="shared" si="1"/>
        <v>106</v>
      </c>
      <c r="E16" s="7">
        <f t="shared" si="2"/>
        <v>16.27998088867654</v>
      </c>
      <c r="H16" t="s">
        <v>157</v>
      </c>
      <c r="I16" s="34" cm="1">
        <f t="array" ref="I16">SLOPE($B$641:$B$731,$A$641:$A$731-640+1)</f>
        <v>0.15265169612995699</v>
      </c>
    </row>
    <row r="17" spans="1:9" x14ac:dyDescent="0.2">
      <c r="A17">
        <v>16</v>
      </c>
      <c r="B17">
        <v>0</v>
      </c>
      <c r="C17">
        <f t="shared" si="0"/>
        <v>746</v>
      </c>
      <c r="D17">
        <f t="shared" si="1"/>
        <v>107</v>
      </c>
      <c r="E17" s="7">
        <f t="shared" si="2"/>
        <v>16.432632584806498</v>
      </c>
      <c r="H17" t="s">
        <v>158</v>
      </c>
      <c r="I17" s="34" cm="1">
        <f t="array" ref="I17">INTERCEPT($B$641:$B$731,$A$641:$A$731-640+1)</f>
        <v>9.890109890109855E-2</v>
      </c>
    </row>
    <row r="18" spans="1:9" x14ac:dyDescent="0.2">
      <c r="A18">
        <v>17</v>
      </c>
      <c r="B18">
        <v>0</v>
      </c>
      <c r="C18">
        <f t="shared" si="0"/>
        <v>747</v>
      </c>
      <c r="D18">
        <f t="shared" si="1"/>
        <v>108</v>
      </c>
      <c r="E18" s="7">
        <f t="shared" si="2"/>
        <v>16.585284280936452</v>
      </c>
    </row>
    <row r="19" spans="1:9" x14ac:dyDescent="0.2">
      <c r="A19">
        <v>18</v>
      </c>
      <c r="B19">
        <v>0</v>
      </c>
      <c r="C19">
        <f t="shared" si="0"/>
        <v>748</v>
      </c>
      <c r="D19">
        <f t="shared" si="1"/>
        <v>109</v>
      </c>
      <c r="E19" s="7">
        <f t="shared" si="2"/>
        <v>16.73793597706641</v>
      </c>
    </row>
    <row r="20" spans="1:9" x14ac:dyDescent="0.2">
      <c r="A20">
        <v>19</v>
      </c>
      <c r="B20">
        <v>0</v>
      </c>
      <c r="C20">
        <f t="shared" si="0"/>
        <v>749</v>
      </c>
      <c r="D20">
        <f t="shared" si="1"/>
        <v>110</v>
      </c>
      <c r="E20" s="7">
        <f t="shared" si="2"/>
        <v>16.890587673196368</v>
      </c>
    </row>
    <row r="21" spans="1:9" x14ac:dyDescent="0.2">
      <c r="A21">
        <v>20</v>
      </c>
      <c r="B21">
        <v>0</v>
      </c>
      <c r="C21">
        <f t="shared" si="0"/>
        <v>750</v>
      </c>
      <c r="D21">
        <f t="shared" si="1"/>
        <v>111</v>
      </c>
      <c r="E21" s="7">
        <f t="shared" si="2"/>
        <v>17.043239369326326</v>
      </c>
    </row>
    <row r="22" spans="1:9" x14ac:dyDescent="0.2">
      <c r="A22">
        <v>21</v>
      </c>
      <c r="B22">
        <v>0</v>
      </c>
      <c r="C22">
        <f t="shared" si="0"/>
        <v>751</v>
      </c>
      <c r="D22">
        <f t="shared" si="1"/>
        <v>112</v>
      </c>
      <c r="E22" s="7">
        <f t="shared" si="2"/>
        <v>17.195891065456284</v>
      </c>
    </row>
    <row r="23" spans="1:9" x14ac:dyDescent="0.2">
      <c r="A23">
        <v>22</v>
      </c>
      <c r="B23">
        <v>0</v>
      </c>
      <c r="C23">
        <f t="shared" si="0"/>
        <v>752</v>
      </c>
      <c r="D23">
        <f t="shared" si="1"/>
        <v>113</v>
      </c>
      <c r="E23" s="7">
        <f t="shared" si="2"/>
        <v>17.348542761586238</v>
      </c>
    </row>
    <row r="24" spans="1:9" x14ac:dyDescent="0.2">
      <c r="A24">
        <v>23</v>
      </c>
      <c r="B24">
        <v>0</v>
      </c>
      <c r="C24">
        <f t="shared" si="0"/>
        <v>753</v>
      </c>
      <c r="D24">
        <f t="shared" si="1"/>
        <v>114</v>
      </c>
      <c r="E24" s="7">
        <f t="shared" si="2"/>
        <v>17.501194457716196</v>
      </c>
    </row>
    <row r="25" spans="1:9" x14ac:dyDescent="0.2">
      <c r="A25">
        <v>24</v>
      </c>
      <c r="B25">
        <v>0</v>
      </c>
      <c r="C25">
        <f t="shared" si="0"/>
        <v>754</v>
      </c>
      <c r="D25">
        <f t="shared" si="1"/>
        <v>115</v>
      </c>
      <c r="E25" s="7">
        <f t="shared" si="2"/>
        <v>17.653846153846153</v>
      </c>
    </row>
    <row r="26" spans="1:9" x14ac:dyDescent="0.2">
      <c r="A26">
        <v>25</v>
      </c>
      <c r="B26">
        <v>0</v>
      </c>
      <c r="C26">
        <f t="shared" si="0"/>
        <v>755</v>
      </c>
      <c r="D26">
        <f t="shared" si="1"/>
        <v>116</v>
      </c>
      <c r="E26" s="7">
        <f t="shared" si="2"/>
        <v>17.806497849976111</v>
      </c>
    </row>
    <row r="27" spans="1:9" x14ac:dyDescent="0.2">
      <c r="A27">
        <v>26</v>
      </c>
      <c r="B27">
        <v>0</v>
      </c>
      <c r="C27">
        <f t="shared" si="0"/>
        <v>756</v>
      </c>
      <c r="D27">
        <f t="shared" si="1"/>
        <v>117</v>
      </c>
      <c r="E27" s="7">
        <f t="shared" si="2"/>
        <v>17.959149546106065</v>
      </c>
    </row>
    <row r="28" spans="1:9" x14ac:dyDescent="0.2">
      <c r="A28">
        <v>27</v>
      </c>
      <c r="B28">
        <v>0</v>
      </c>
      <c r="C28">
        <f t="shared" si="0"/>
        <v>757</v>
      </c>
      <c r="D28">
        <f t="shared" si="1"/>
        <v>118</v>
      </c>
      <c r="E28" s="7">
        <f t="shared" si="2"/>
        <v>18.111801242236023</v>
      </c>
    </row>
    <row r="29" spans="1:9" x14ac:dyDescent="0.2">
      <c r="A29">
        <v>28</v>
      </c>
      <c r="B29">
        <v>0</v>
      </c>
      <c r="C29">
        <f t="shared" si="0"/>
        <v>758</v>
      </c>
      <c r="D29">
        <f t="shared" si="1"/>
        <v>119</v>
      </c>
      <c r="E29" s="7">
        <f t="shared" si="2"/>
        <v>18.264452938365981</v>
      </c>
    </row>
    <row r="30" spans="1:9" x14ac:dyDescent="0.2">
      <c r="A30">
        <v>29</v>
      </c>
      <c r="B30">
        <v>0</v>
      </c>
      <c r="C30">
        <f t="shared" si="0"/>
        <v>759</v>
      </c>
      <c r="D30">
        <f t="shared" si="1"/>
        <v>120</v>
      </c>
      <c r="E30" s="7">
        <f t="shared" si="2"/>
        <v>18.417104634495939</v>
      </c>
    </row>
    <row r="31" spans="1:9" x14ac:dyDescent="0.2">
      <c r="A31">
        <v>30</v>
      </c>
      <c r="B31">
        <v>0</v>
      </c>
      <c r="C31">
        <f t="shared" si="0"/>
        <v>760</v>
      </c>
      <c r="D31">
        <f t="shared" si="1"/>
        <v>121</v>
      </c>
      <c r="E31" s="7">
        <f t="shared" si="2"/>
        <v>18.569756330625896</v>
      </c>
    </row>
    <row r="32" spans="1:9" x14ac:dyDescent="0.2">
      <c r="A32">
        <v>31</v>
      </c>
      <c r="B32">
        <v>0</v>
      </c>
      <c r="C32">
        <f t="shared" si="0"/>
        <v>761</v>
      </c>
      <c r="D32">
        <f t="shared" si="1"/>
        <v>122</v>
      </c>
      <c r="E32" s="7">
        <f t="shared" si="2"/>
        <v>18.722408026755851</v>
      </c>
    </row>
    <row r="33" spans="1:5" x14ac:dyDescent="0.2">
      <c r="A33">
        <v>32</v>
      </c>
      <c r="B33">
        <v>0</v>
      </c>
      <c r="C33">
        <f t="shared" si="0"/>
        <v>762</v>
      </c>
      <c r="D33">
        <f t="shared" si="1"/>
        <v>123</v>
      </c>
      <c r="E33" s="7">
        <f t="shared" si="2"/>
        <v>18.875059722885808</v>
      </c>
    </row>
    <row r="34" spans="1:5" x14ac:dyDescent="0.2">
      <c r="A34">
        <v>33</v>
      </c>
      <c r="B34">
        <v>0</v>
      </c>
      <c r="C34">
        <f t="shared" si="0"/>
        <v>763</v>
      </c>
      <c r="D34">
        <f t="shared" si="1"/>
        <v>124</v>
      </c>
      <c r="E34" s="7">
        <f t="shared" si="2"/>
        <v>19.027711419015766</v>
      </c>
    </row>
    <row r="35" spans="1:5" x14ac:dyDescent="0.2">
      <c r="A35">
        <v>34</v>
      </c>
      <c r="B35">
        <v>0</v>
      </c>
      <c r="C35">
        <f t="shared" si="0"/>
        <v>764</v>
      </c>
      <c r="D35">
        <f t="shared" si="1"/>
        <v>125</v>
      </c>
      <c r="E35" s="7">
        <f t="shared" si="2"/>
        <v>19.180363115145724</v>
      </c>
    </row>
    <row r="36" spans="1:5" x14ac:dyDescent="0.2">
      <c r="A36">
        <v>35</v>
      </c>
      <c r="B36">
        <v>0</v>
      </c>
      <c r="C36">
        <f t="shared" si="0"/>
        <v>765</v>
      </c>
      <c r="D36">
        <f t="shared" si="1"/>
        <v>126</v>
      </c>
      <c r="E36" s="7">
        <f t="shared" si="2"/>
        <v>19.333014811275678</v>
      </c>
    </row>
    <row r="37" spans="1:5" x14ac:dyDescent="0.2">
      <c r="A37">
        <v>36</v>
      </c>
      <c r="B37">
        <v>0</v>
      </c>
      <c r="C37">
        <f t="shared" si="0"/>
        <v>766</v>
      </c>
      <c r="D37">
        <f t="shared" si="1"/>
        <v>127</v>
      </c>
      <c r="E37" s="7">
        <f t="shared" si="2"/>
        <v>19.485666507405636</v>
      </c>
    </row>
    <row r="38" spans="1:5" x14ac:dyDescent="0.2">
      <c r="A38">
        <v>37</v>
      </c>
      <c r="B38">
        <v>0</v>
      </c>
      <c r="C38">
        <f t="shared" si="0"/>
        <v>767</v>
      </c>
      <c r="D38">
        <f t="shared" si="1"/>
        <v>128</v>
      </c>
      <c r="E38" s="7">
        <f t="shared" si="2"/>
        <v>19.638318203535594</v>
      </c>
    </row>
    <row r="39" spans="1:5" x14ac:dyDescent="0.2">
      <c r="A39">
        <v>38</v>
      </c>
      <c r="B39">
        <v>0</v>
      </c>
      <c r="C39">
        <f t="shared" si="0"/>
        <v>768</v>
      </c>
      <c r="D39">
        <f t="shared" si="1"/>
        <v>129</v>
      </c>
      <c r="E39" s="7">
        <f t="shared" si="2"/>
        <v>19.790969899665551</v>
      </c>
    </row>
    <row r="40" spans="1:5" x14ac:dyDescent="0.2">
      <c r="A40">
        <v>39</v>
      </c>
      <c r="B40">
        <v>0</v>
      </c>
      <c r="C40">
        <f t="shared" si="0"/>
        <v>769</v>
      </c>
      <c r="D40">
        <f t="shared" si="1"/>
        <v>130</v>
      </c>
      <c r="E40" s="7">
        <f t="shared" si="2"/>
        <v>19.943621595795509</v>
      </c>
    </row>
    <row r="41" spans="1:5" x14ac:dyDescent="0.2">
      <c r="A41">
        <v>40</v>
      </c>
      <c r="B41">
        <v>0</v>
      </c>
      <c r="C41">
        <f t="shared" si="0"/>
        <v>770</v>
      </c>
      <c r="D41">
        <f t="shared" si="1"/>
        <v>131</v>
      </c>
      <c r="E41" s="7">
        <f t="shared" si="2"/>
        <v>20.096273291925463</v>
      </c>
    </row>
    <row r="42" spans="1:5" x14ac:dyDescent="0.2">
      <c r="A42">
        <v>41</v>
      </c>
      <c r="B42">
        <v>0</v>
      </c>
      <c r="C42">
        <f t="shared" si="0"/>
        <v>771</v>
      </c>
      <c r="D42">
        <f t="shared" si="1"/>
        <v>132</v>
      </c>
      <c r="E42" s="7">
        <f t="shared" si="2"/>
        <v>20.248924988055421</v>
      </c>
    </row>
    <row r="43" spans="1:5" x14ac:dyDescent="0.2">
      <c r="A43">
        <v>42</v>
      </c>
      <c r="B43">
        <v>0</v>
      </c>
      <c r="C43">
        <f t="shared" si="0"/>
        <v>772</v>
      </c>
      <c r="D43">
        <f t="shared" si="1"/>
        <v>133</v>
      </c>
      <c r="E43" s="7">
        <f t="shared" si="2"/>
        <v>20.401576684185379</v>
      </c>
    </row>
    <row r="44" spans="1:5" x14ac:dyDescent="0.2">
      <c r="A44">
        <v>43</v>
      </c>
      <c r="B44">
        <v>0</v>
      </c>
      <c r="C44">
        <f t="shared" si="0"/>
        <v>773</v>
      </c>
      <c r="D44">
        <f t="shared" si="1"/>
        <v>134</v>
      </c>
      <c r="E44" s="7">
        <f t="shared" si="2"/>
        <v>20.554228380315337</v>
      </c>
    </row>
    <row r="45" spans="1:5" x14ac:dyDescent="0.2">
      <c r="A45">
        <v>44</v>
      </c>
      <c r="B45">
        <v>0</v>
      </c>
      <c r="C45">
        <f t="shared" si="0"/>
        <v>774</v>
      </c>
      <c r="D45">
        <f t="shared" si="1"/>
        <v>135</v>
      </c>
      <c r="E45" s="7">
        <f t="shared" si="2"/>
        <v>20.706880076445291</v>
      </c>
    </row>
    <row r="46" spans="1:5" x14ac:dyDescent="0.2">
      <c r="A46">
        <v>45</v>
      </c>
      <c r="B46">
        <v>0</v>
      </c>
      <c r="C46">
        <f t="shared" si="0"/>
        <v>775</v>
      </c>
      <c r="D46">
        <f t="shared" si="1"/>
        <v>136</v>
      </c>
      <c r="E46" s="7">
        <f t="shared" si="2"/>
        <v>20.859531772575249</v>
      </c>
    </row>
    <row r="47" spans="1:5" x14ac:dyDescent="0.2">
      <c r="A47">
        <v>46</v>
      </c>
      <c r="B47">
        <v>0</v>
      </c>
      <c r="C47">
        <f t="shared" si="0"/>
        <v>776</v>
      </c>
      <c r="D47">
        <f t="shared" si="1"/>
        <v>137</v>
      </c>
      <c r="E47" s="7">
        <f t="shared" si="2"/>
        <v>21.012183468705206</v>
      </c>
    </row>
    <row r="48" spans="1:5" x14ac:dyDescent="0.2">
      <c r="A48">
        <v>47</v>
      </c>
      <c r="B48">
        <v>0</v>
      </c>
      <c r="C48">
        <f t="shared" si="0"/>
        <v>777</v>
      </c>
      <c r="D48">
        <f t="shared" si="1"/>
        <v>138</v>
      </c>
      <c r="E48" s="7">
        <f t="shared" si="2"/>
        <v>21.164835164835164</v>
      </c>
    </row>
    <row r="49" spans="1:5" x14ac:dyDescent="0.2">
      <c r="A49">
        <v>48</v>
      </c>
      <c r="B49">
        <v>0</v>
      </c>
      <c r="C49">
        <f t="shared" si="0"/>
        <v>778</v>
      </c>
      <c r="D49">
        <f t="shared" si="1"/>
        <v>139</v>
      </c>
      <c r="E49" s="7">
        <f t="shared" si="2"/>
        <v>21.317486860965122</v>
      </c>
    </row>
    <row r="50" spans="1:5" x14ac:dyDescent="0.2">
      <c r="A50">
        <v>49</v>
      </c>
      <c r="B50">
        <v>0</v>
      </c>
      <c r="C50">
        <f t="shared" si="0"/>
        <v>779</v>
      </c>
      <c r="D50">
        <f t="shared" si="1"/>
        <v>140</v>
      </c>
      <c r="E50" s="7">
        <f t="shared" si="2"/>
        <v>21.470138557095076</v>
      </c>
    </row>
    <row r="51" spans="1:5" x14ac:dyDescent="0.2">
      <c r="A51">
        <v>50</v>
      </c>
      <c r="B51">
        <v>0</v>
      </c>
      <c r="C51">
        <f t="shared" si="0"/>
        <v>780</v>
      </c>
      <c r="D51">
        <f t="shared" si="1"/>
        <v>141</v>
      </c>
      <c r="E51" s="7">
        <f t="shared" si="2"/>
        <v>21.622790253225034</v>
      </c>
    </row>
    <row r="52" spans="1:5" x14ac:dyDescent="0.2">
      <c r="A52">
        <v>51</v>
      </c>
      <c r="B52">
        <v>0</v>
      </c>
      <c r="C52">
        <f t="shared" si="0"/>
        <v>781</v>
      </c>
      <c r="D52">
        <f t="shared" si="1"/>
        <v>142</v>
      </c>
      <c r="E52" s="7">
        <f t="shared" si="2"/>
        <v>21.775441949354992</v>
      </c>
    </row>
    <row r="53" spans="1:5" x14ac:dyDescent="0.2">
      <c r="A53">
        <v>52</v>
      </c>
      <c r="B53">
        <v>0</v>
      </c>
      <c r="C53">
        <f t="shared" si="0"/>
        <v>782</v>
      </c>
      <c r="D53">
        <f t="shared" si="1"/>
        <v>143</v>
      </c>
      <c r="E53" s="7">
        <f t="shared" si="2"/>
        <v>21.92809364548495</v>
      </c>
    </row>
    <row r="54" spans="1:5" x14ac:dyDescent="0.2">
      <c r="A54">
        <v>53</v>
      </c>
      <c r="B54">
        <v>0</v>
      </c>
      <c r="C54">
        <f t="shared" si="0"/>
        <v>783</v>
      </c>
      <c r="D54">
        <f t="shared" si="1"/>
        <v>144</v>
      </c>
      <c r="E54" s="7">
        <f t="shared" si="2"/>
        <v>22.080745341614904</v>
      </c>
    </row>
    <row r="55" spans="1:5" x14ac:dyDescent="0.2">
      <c r="A55">
        <v>54</v>
      </c>
      <c r="B55">
        <v>0</v>
      </c>
      <c r="C55">
        <f t="shared" si="0"/>
        <v>784</v>
      </c>
      <c r="D55">
        <f t="shared" si="1"/>
        <v>145</v>
      </c>
      <c r="E55" s="7">
        <f t="shared" si="2"/>
        <v>22.233397037744862</v>
      </c>
    </row>
    <row r="56" spans="1:5" x14ac:dyDescent="0.2">
      <c r="A56">
        <v>55</v>
      </c>
      <c r="B56">
        <v>0</v>
      </c>
      <c r="C56">
        <f t="shared" si="0"/>
        <v>785</v>
      </c>
      <c r="D56">
        <f t="shared" si="1"/>
        <v>146</v>
      </c>
      <c r="E56" s="7">
        <f t="shared" si="2"/>
        <v>22.386048733874819</v>
      </c>
    </row>
    <row r="57" spans="1:5" x14ac:dyDescent="0.2">
      <c r="A57">
        <v>56</v>
      </c>
      <c r="B57">
        <v>0</v>
      </c>
      <c r="C57">
        <f t="shared" si="0"/>
        <v>786</v>
      </c>
      <c r="D57">
        <f t="shared" si="1"/>
        <v>147</v>
      </c>
      <c r="E57" s="7">
        <f t="shared" si="2"/>
        <v>22.538700430004777</v>
      </c>
    </row>
    <row r="58" spans="1:5" x14ac:dyDescent="0.2">
      <c r="A58">
        <v>57</v>
      </c>
      <c r="B58">
        <v>0</v>
      </c>
      <c r="C58">
        <f t="shared" si="0"/>
        <v>787</v>
      </c>
      <c r="D58">
        <f t="shared" si="1"/>
        <v>148</v>
      </c>
      <c r="E58" s="7">
        <f t="shared" si="2"/>
        <v>22.691352126134735</v>
      </c>
    </row>
    <row r="59" spans="1:5" x14ac:dyDescent="0.2">
      <c r="A59">
        <v>58</v>
      </c>
      <c r="B59">
        <v>0</v>
      </c>
      <c r="C59">
        <f t="shared" si="0"/>
        <v>788</v>
      </c>
      <c r="D59">
        <f t="shared" si="1"/>
        <v>149</v>
      </c>
      <c r="E59" s="7">
        <f t="shared" si="2"/>
        <v>22.844003822264689</v>
      </c>
    </row>
    <row r="60" spans="1:5" x14ac:dyDescent="0.2">
      <c r="A60">
        <v>59</v>
      </c>
      <c r="B60">
        <v>0</v>
      </c>
      <c r="C60">
        <f t="shared" si="0"/>
        <v>789</v>
      </c>
      <c r="D60">
        <f t="shared" si="1"/>
        <v>150</v>
      </c>
      <c r="E60" s="7">
        <f t="shared" si="2"/>
        <v>22.996655518394647</v>
      </c>
    </row>
    <row r="61" spans="1:5" x14ac:dyDescent="0.2">
      <c r="A61">
        <v>60</v>
      </c>
      <c r="B61">
        <v>0</v>
      </c>
      <c r="C61">
        <f t="shared" si="0"/>
        <v>790</v>
      </c>
      <c r="D61">
        <f t="shared" si="1"/>
        <v>151</v>
      </c>
      <c r="E61" s="7">
        <f t="shared" si="2"/>
        <v>23.149307214524605</v>
      </c>
    </row>
    <row r="62" spans="1:5" x14ac:dyDescent="0.2">
      <c r="A62">
        <v>61</v>
      </c>
      <c r="B62">
        <v>0</v>
      </c>
      <c r="C62">
        <f t="shared" si="0"/>
        <v>791</v>
      </c>
      <c r="D62">
        <f t="shared" si="1"/>
        <v>152</v>
      </c>
      <c r="E62" s="7">
        <f t="shared" si="2"/>
        <v>23.301958910654562</v>
      </c>
    </row>
    <row r="63" spans="1:5" x14ac:dyDescent="0.2">
      <c r="A63">
        <v>62</v>
      </c>
      <c r="B63">
        <v>0</v>
      </c>
      <c r="C63">
        <f t="shared" si="0"/>
        <v>792</v>
      </c>
      <c r="D63">
        <f t="shared" si="1"/>
        <v>153</v>
      </c>
      <c r="E63" s="7">
        <f t="shared" si="2"/>
        <v>23.45461060678452</v>
      </c>
    </row>
    <row r="64" spans="1:5" x14ac:dyDescent="0.2">
      <c r="A64">
        <v>63</v>
      </c>
      <c r="B64">
        <v>0</v>
      </c>
      <c r="C64">
        <f t="shared" si="0"/>
        <v>793</v>
      </c>
      <c r="D64">
        <f t="shared" si="1"/>
        <v>154</v>
      </c>
      <c r="E64" s="7">
        <f t="shared" si="2"/>
        <v>23.607262302914474</v>
      </c>
    </row>
    <row r="65" spans="1:5" x14ac:dyDescent="0.2">
      <c r="A65">
        <v>64</v>
      </c>
      <c r="B65">
        <v>0</v>
      </c>
      <c r="C65">
        <f t="shared" si="0"/>
        <v>794</v>
      </c>
      <c r="D65">
        <f t="shared" si="1"/>
        <v>155</v>
      </c>
      <c r="E65" s="7">
        <f t="shared" si="2"/>
        <v>23.759913999044432</v>
      </c>
    </row>
    <row r="66" spans="1:5" x14ac:dyDescent="0.2">
      <c r="A66">
        <v>65</v>
      </c>
      <c r="B66">
        <v>0</v>
      </c>
      <c r="C66">
        <f t="shared" si="0"/>
        <v>795</v>
      </c>
      <c r="D66">
        <f t="shared" si="1"/>
        <v>156</v>
      </c>
      <c r="E66" s="7">
        <f t="shared" si="2"/>
        <v>23.91256569517439</v>
      </c>
    </row>
    <row r="67" spans="1:5" x14ac:dyDescent="0.2">
      <c r="A67">
        <v>66</v>
      </c>
      <c r="B67">
        <v>0</v>
      </c>
      <c r="C67">
        <f t="shared" ref="C67:C130" si="5">A67+730</f>
        <v>796</v>
      </c>
      <c r="D67">
        <f t="shared" ref="D67:D130" si="6">C67-640+1</f>
        <v>157</v>
      </c>
      <c r="E67" s="7">
        <f t="shared" ref="E67:E130" si="7">$I$16*D67+$I$17</f>
        <v>24.065217391304348</v>
      </c>
    </row>
    <row r="68" spans="1:5" x14ac:dyDescent="0.2">
      <c r="A68">
        <v>67</v>
      </c>
      <c r="B68">
        <v>0</v>
      </c>
      <c r="C68">
        <f t="shared" si="5"/>
        <v>797</v>
      </c>
      <c r="D68">
        <f t="shared" si="6"/>
        <v>158</v>
      </c>
      <c r="E68" s="7">
        <f t="shared" si="7"/>
        <v>24.217869087434302</v>
      </c>
    </row>
    <row r="69" spans="1:5" x14ac:dyDescent="0.2">
      <c r="A69">
        <v>68</v>
      </c>
      <c r="B69">
        <v>0</v>
      </c>
      <c r="C69">
        <f t="shared" si="5"/>
        <v>798</v>
      </c>
      <c r="D69">
        <f t="shared" si="6"/>
        <v>159</v>
      </c>
      <c r="E69" s="7">
        <f t="shared" si="7"/>
        <v>24.37052078356426</v>
      </c>
    </row>
    <row r="70" spans="1:5" x14ac:dyDescent="0.2">
      <c r="A70">
        <v>69</v>
      </c>
      <c r="B70">
        <v>0</v>
      </c>
      <c r="C70">
        <f t="shared" si="5"/>
        <v>799</v>
      </c>
      <c r="D70">
        <f t="shared" si="6"/>
        <v>160</v>
      </c>
      <c r="E70" s="7">
        <f t="shared" si="7"/>
        <v>24.523172479694217</v>
      </c>
    </row>
    <row r="71" spans="1:5" x14ac:dyDescent="0.2">
      <c r="A71">
        <v>70</v>
      </c>
      <c r="B71">
        <v>0</v>
      </c>
      <c r="C71">
        <f t="shared" si="5"/>
        <v>800</v>
      </c>
      <c r="D71">
        <f t="shared" si="6"/>
        <v>161</v>
      </c>
      <c r="E71" s="7">
        <f t="shared" si="7"/>
        <v>24.675824175824175</v>
      </c>
    </row>
    <row r="72" spans="1:5" x14ac:dyDescent="0.2">
      <c r="A72">
        <v>71</v>
      </c>
      <c r="B72">
        <v>0</v>
      </c>
      <c r="C72">
        <f t="shared" si="5"/>
        <v>801</v>
      </c>
      <c r="D72">
        <f t="shared" si="6"/>
        <v>162</v>
      </c>
      <c r="E72" s="7">
        <f t="shared" si="7"/>
        <v>24.828475871954133</v>
      </c>
    </row>
    <row r="73" spans="1:5" x14ac:dyDescent="0.2">
      <c r="A73">
        <v>72</v>
      </c>
      <c r="B73">
        <v>0</v>
      </c>
      <c r="C73">
        <f t="shared" si="5"/>
        <v>802</v>
      </c>
      <c r="D73">
        <f t="shared" si="6"/>
        <v>163</v>
      </c>
      <c r="E73" s="7">
        <f t="shared" si="7"/>
        <v>24.981127568084087</v>
      </c>
    </row>
    <row r="74" spans="1:5" x14ac:dyDescent="0.2">
      <c r="A74">
        <v>73</v>
      </c>
      <c r="B74">
        <v>0</v>
      </c>
      <c r="C74">
        <f t="shared" si="5"/>
        <v>803</v>
      </c>
      <c r="D74">
        <f t="shared" si="6"/>
        <v>164</v>
      </c>
      <c r="E74" s="7">
        <f t="shared" si="7"/>
        <v>25.133779264214045</v>
      </c>
    </row>
    <row r="75" spans="1:5" x14ac:dyDescent="0.2">
      <c r="A75">
        <v>74</v>
      </c>
      <c r="B75">
        <v>0</v>
      </c>
      <c r="C75">
        <f t="shared" si="5"/>
        <v>804</v>
      </c>
      <c r="D75">
        <f t="shared" si="6"/>
        <v>165</v>
      </c>
      <c r="E75" s="7">
        <f t="shared" si="7"/>
        <v>25.286430960344003</v>
      </c>
    </row>
    <row r="76" spans="1:5" x14ac:dyDescent="0.2">
      <c r="A76">
        <v>75</v>
      </c>
      <c r="B76">
        <v>0</v>
      </c>
      <c r="C76">
        <f t="shared" si="5"/>
        <v>805</v>
      </c>
      <c r="D76">
        <f t="shared" si="6"/>
        <v>166</v>
      </c>
      <c r="E76" s="7">
        <f t="shared" si="7"/>
        <v>25.43908265647396</v>
      </c>
    </row>
    <row r="77" spans="1:5" x14ac:dyDescent="0.2">
      <c r="A77">
        <v>76</v>
      </c>
      <c r="B77">
        <v>0</v>
      </c>
      <c r="C77">
        <f t="shared" si="5"/>
        <v>806</v>
      </c>
      <c r="D77">
        <f t="shared" si="6"/>
        <v>167</v>
      </c>
      <c r="E77" s="7">
        <f t="shared" si="7"/>
        <v>25.591734352603915</v>
      </c>
    </row>
    <row r="78" spans="1:5" x14ac:dyDescent="0.2">
      <c r="A78">
        <v>77</v>
      </c>
      <c r="B78">
        <v>0</v>
      </c>
      <c r="C78">
        <f t="shared" si="5"/>
        <v>807</v>
      </c>
      <c r="D78">
        <f t="shared" si="6"/>
        <v>168</v>
      </c>
      <c r="E78" s="7">
        <f t="shared" si="7"/>
        <v>25.744386048733872</v>
      </c>
    </row>
    <row r="79" spans="1:5" x14ac:dyDescent="0.2">
      <c r="A79">
        <v>78</v>
      </c>
      <c r="B79">
        <v>0</v>
      </c>
      <c r="C79">
        <f t="shared" si="5"/>
        <v>808</v>
      </c>
      <c r="D79">
        <f t="shared" si="6"/>
        <v>169</v>
      </c>
      <c r="E79" s="7">
        <f t="shared" si="7"/>
        <v>25.89703774486383</v>
      </c>
    </row>
    <row r="80" spans="1:5" x14ac:dyDescent="0.2">
      <c r="A80">
        <v>79</v>
      </c>
      <c r="B80">
        <v>0</v>
      </c>
      <c r="C80">
        <f t="shared" si="5"/>
        <v>809</v>
      </c>
      <c r="D80">
        <f t="shared" si="6"/>
        <v>170</v>
      </c>
      <c r="E80" s="7">
        <f t="shared" si="7"/>
        <v>26.049689440993788</v>
      </c>
    </row>
    <row r="81" spans="1:5" x14ac:dyDescent="0.2">
      <c r="A81">
        <v>80</v>
      </c>
      <c r="B81">
        <v>0</v>
      </c>
      <c r="C81">
        <f t="shared" si="5"/>
        <v>810</v>
      </c>
      <c r="D81">
        <f t="shared" si="6"/>
        <v>171</v>
      </c>
      <c r="E81" s="7">
        <f t="shared" si="7"/>
        <v>26.202341137123746</v>
      </c>
    </row>
    <row r="82" spans="1:5" x14ac:dyDescent="0.2">
      <c r="A82">
        <v>81</v>
      </c>
      <c r="B82">
        <v>0</v>
      </c>
      <c r="C82">
        <f t="shared" si="5"/>
        <v>811</v>
      </c>
      <c r="D82">
        <f t="shared" si="6"/>
        <v>172</v>
      </c>
      <c r="E82" s="7">
        <f t="shared" si="7"/>
        <v>26.3549928332537</v>
      </c>
    </row>
    <row r="83" spans="1:5" x14ac:dyDescent="0.2">
      <c r="A83">
        <v>82</v>
      </c>
      <c r="B83">
        <v>0</v>
      </c>
      <c r="C83">
        <f t="shared" si="5"/>
        <v>812</v>
      </c>
      <c r="D83">
        <f t="shared" si="6"/>
        <v>173</v>
      </c>
      <c r="E83" s="7">
        <f t="shared" si="7"/>
        <v>26.507644529383658</v>
      </c>
    </row>
    <row r="84" spans="1:5" x14ac:dyDescent="0.2">
      <c r="A84">
        <v>83</v>
      </c>
      <c r="B84">
        <v>0</v>
      </c>
      <c r="C84">
        <f t="shared" si="5"/>
        <v>813</v>
      </c>
      <c r="D84">
        <f t="shared" si="6"/>
        <v>174</v>
      </c>
      <c r="E84" s="7">
        <f t="shared" si="7"/>
        <v>26.660296225513616</v>
      </c>
    </row>
    <row r="85" spans="1:5" x14ac:dyDescent="0.2">
      <c r="A85">
        <v>84</v>
      </c>
      <c r="B85">
        <v>0</v>
      </c>
      <c r="C85">
        <f t="shared" si="5"/>
        <v>814</v>
      </c>
      <c r="D85">
        <f t="shared" si="6"/>
        <v>175</v>
      </c>
      <c r="E85" s="7">
        <f t="shared" si="7"/>
        <v>26.812947921643573</v>
      </c>
    </row>
    <row r="86" spans="1:5" x14ac:dyDescent="0.2">
      <c r="A86">
        <v>85</v>
      </c>
      <c r="B86">
        <v>0</v>
      </c>
      <c r="C86">
        <f t="shared" si="5"/>
        <v>815</v>
      </c>
      <c r="D86">
        <f t="shared" si="6"/>
        <v>176</v>
      </c>
      <c r="E86" s="7">
        <f t="shared" si="7"/>
        <v>26.965599617773531</v>
      </c>
    </row>
    <row r="87" spans="1:5" x14ac:dyDescent="0.2">
      <c r="A87">
        <v>86</v>
      </c>
      <c r="B87">
        <v>0</v>
      </c>
      <c r="C87">
        <f t="shared" si="5"/>
        <v>816</v>
      </c>
      <c r="D87">
        <f t="shared" si="6"/>
        <v>177</v>
      </c>
      <c r="E87" s="7">
        <f t="shared" si="7"/>
        <v>27.118251313903485</v>
      </c>
    </row>
    <row r="88" spans="1:5" x14ac:dyDescent="0.2">
      <c r="A88">
        <v>87</v>
      </c>
      <c r="B88">
        <v>0</v>
      </c>
      <c r="C88">
        <f t="shared" si="5"/>
        <v>817</v>
      </c>
      <c r="D88">
        <f t="shared" si="6"/>
        <v>178</v>
      </c>
      <c r="E88" s="7">
        <f t="shared" si="7"/>
        <v>27.270903010033443</v>
      </c>
    </row>
    <row r="89" spans="1:5" x14ac:dyDescent="0.2">
      <c r="A89">
        <v>88</v>
      </c>
      <c r="B89">
        <v>0</v>
      </c>
      <c r="C89">
        <f t="shared" si="5"/>
        <v>818</v>
      </c>
      <c r="D89">
        <f t="shared" si="6"/>
        <v>179</v>
      </c>
      <c r="E89" s="7">
        <f t="shared" si="7"/>
        <v>27.423554706163401</v>
      </c>
    </row>
    <row r="90" spans="1:5" x14ac:dyDescent="0.2">
      <c r="A90">
        <v>89</v>
      </c>
      <c r="B90">
        <v>0</v>
      </c>
      <c r="C90">
        <f t="shared" si="5"/>
        <v>819</v>
      </c>
      <c r="D90">
        <f t="shared" si="6"/>
        <v>180</v>
      </c>
      <c r="E90" s="7">
        <f t="shared" si="7"/>
        <v>27.576206402293359</v>
      </c>
    </row>
    <row r="91" spans="1:5" x14ac:dyDescent="0.2">
      <c r="A91">
        <v>90</v>
      </c>
      <c r="B91">
        <v>0</v>
      </c>
      <c r="C91">
        <f t="shared" si="5"/>
        <v>820</v>
      </c>
      <c r="D91">
        <f t="shared" si="6"/>
        <v>181</v>
      </c>
      <c r="E91" s="7">
        <f t="shared" si="7"/>
        <v>27.728858098423313</v>
      </c>
    </row>
    <row r="92" spans="1:5" x14ac:dyDescent="0.2">
      <c r="A92">
        <v>91</v>
      </c>
      <c r="B92">
        <v>0</v>
      </c>
      <c r="C92">
        <f t="shared" si="5"/>
        <v>821</v>
      </c>
      <c r="D92">
        <f t="shared" si="6"/>
        <v>182</v>
      </c>
      <c r="E92" s="7">
        <f t="shared" si="7"/>
        <v>27.881509794553271</v>
      </c>
    </row>
    <row r="93" spans="1:5" x14ac:dyDescent="0.2">
      <c r="A93">
        <v>92</v>
      </c>
      <c r="B93">
        <v>0</v>
      </c>
      <c r="C93">
        <f t="shared" si="5"/>
        <v>822</v>
      </c>
      <c r="D93">
        <f t="shared" si="6"/>
        <v>183</v>
      </c>
      <c r="E93" s="7">
        <f t="shared" si="7"/>
        <v>28.034161490683228</v>
      </c>
    </row>
    <row r="94" spans="1:5" x14ac:dyDescent="0.2">
      <c r="A94">
        <v>93</v>
      </c>
      <c r="B94">
        <v>0</v>
      </c>
      <c r="C94">
        <f t="shared" si="5"/>
        <v>823</v>
      </c>
      <c r="D94">
        <f t="shared" si="6"/>
        <v>184</v>
      </c>
      <c r="E94" s="7">
        <f t="shared" si="7"/>
        <v>28.186813186813186</v>
      </c>
    </row>
    <row r="95" spans="1:5" x14ac:dyDescent="0.2">
      <c r="A95">
        <v>94</v>
      </c>
      <c r="B95">
        <v>0</v>
      </c>
      <c r="C95">
        <f t="shared" si="5"/>
        <v>824</v>
      </c>
      <c r="D95">
        <f t="shared" si="6"/>
        <v>185</v>
      </c>
      <c r="E95" s="7">
        <f t="shared" si="7"/>
        <v>28.339464882943144</v>
      </c>
    </row>
    <row r="96" spans="1:5" x14ac:dyDescent="0.2">
      <c r="A96">
        <v>95</v>
      </c>
      <c r="B96">
        <v>0</v>
      </c>
      <c r="C96">
        <f t="shared" si="5"/>
        <v>825</v>
      </c>
      <c r="D96">
        <f t="shared" si="6"/>
        <v>186</v>
      </c>
      <c r="E96" s="7">
        <f t="shared" si="7"/>
        <v>28.492116579073098</v>
      </c>
    </row>
    <row r="97" spans="1:5" x14ac:dyDescent="0.2">
      <c r="A97">
        <v>96</v>
      </c>
      <c r="B97">
        <v>0</v>
      </c>
      <c r="C97">
        <f t="shared" si="5"/>
        <v>826</v>
      </c>
      <c r="D97">
        <f t="shared" si="6"/>
        <v>187</v>
      </c>
      <c r="E97" s="7">
        <f t="shared" si="7"/>
        <v>28.644768275203056</v>
      </c>
    </row>
    <row r="98" spans="1:5" x14ac:dyDescent="0.2">
      <c r="A98">
        <v>97</v>
      </c>
      <c r="B98">
        <v>0</v>
      </c>
      <c r="C98">
        <f t="shared" si="5"/>
        <v>827</v>
      </c>
      <c r="D98">
        <f t="shared" si="6"/>
        <v>188</v>
      </c>
      <c r="E98" s="7">
        <f t="shared" si="7"/>
        <v>28.797419971333014</v>
      </c>
    </row>
    <row r="99" spans="1:5" x14ac:dyDescent="0.2">
      <c r="A99">
        <v>98</v>
      </c>
      <c r="B99">
        <v>0</v>
      </c>
      <c r="C99">
        <f t="shared" si="5"/>
        <v>828</v>
      </c>
      <c r="D99">
        <f t="shared" si="6"/>
        <v>189</v>
      </c>
      <c r="E99" s="7">
        <f t="shared" si="7"/>
        <v>28.950071667462971</v>
      </c>
    </row>
    <row r="100" spans="1:5" x14ac:dyDescent="0.2">
      <c r="A100">
        <v>99</v>
      </c>
      <c r="B100">
        <v>0</v>
      </c>
      <c r="C100">
        <f t="shared" si="5"/>
        <v>829</v>
      </c>
      <c r="D100">
        <f t="shared" si="6"/>
        <v>190</v>
      </c>
      <c r="E100" s="7">
        <f t="shared" si="7"/>
        <v>29.102723363592926</v>
      </c>
    </row>
    <row r="101" spans="1:5" x14ac:dyDescent="0.2">
      <c r="A101">
        <v>100</v>
      </c>
      <c r="B101">
        <v>0</v>
      </c>
      <c r="C101">
        <f t="shared" si="5"/>
        <v>830</v>
      </c>
      <c r="D101">
        <f t="shared" si="6"/>
        <v>191</v>
      </c>
      <c r="E101" s="7">
        <f t="shared" si="7"/>
        <v>29.255375059722883</v>
      </c>
    </row>
    <row r="102" spans="1:5" x14ac:dyDescent="0.2">
      <c r="A102">
        <v>101</v>
      </c>
      <c r="B102">
        <v>0</v>
      </c>
      <c r="C102">
        <f t="shared" si="5"/>
        <v>831</v>
      </c>
      <c r="D102">
        <f t="shared" si="6"/>
        <v>192</v>
      </c>
      <c r="E102" s="7">
        <f t="shared" si="7"/>
        <v>29.408026755852841</v>
      </c>
    </row>
    <row r="103" spans="1:5" x14ac:dyDescent="0.2">
      <c r="A103">
        <v>102</v>
      </c>
      <c r="B103">
        <v>0</v>
      </c>
      <c r="C103">
        <f t="shared" si="5"/>
        <v>832</v>
      </c>
      <c r="D103">
        <f t="shared" si="6"/>
        <v>193</v>
      </c>
      <c r="E103" s="7">
        <f t="shared" si="7"/>
        <v>29.560678451982799</v>
      </c>
    </row>
    <row r="104" spans="1:5" x14ac:dyDescent="0.2">
      <c r="A104">
        <v>103</v>
      </c>
      <c r="B104">
        <v>0</v>
      </c>
      <c r="C104">
        <f t="shared" si="5"/>
        <v>833</v>
      </c>
      <c r="D104">
        <f t="shared" si="6"/>
        <v>194</v>
      </c>
      <c r="E104" s="7">
        <f t="shared" si="7"/>
        <v>29.713330148112757</v>
      </c>
    </row>
    <row r="105" spans="1:5" x14ac:dyDescent="0.2">
      <c r="A105">
        <v>104</v>
      </c>
      <c r="B105">
        <v>0</v>
      </c>
      <c r="C105">
        <f t="shared" si="5"/>
        <v>834</v>
      </c>
      <c r="D105">
        <f t="shared" si="6"/>
        <v>195</v>
      </c>
      <c r="E105" s="7">
        <f t="shared" si="7"/>
        <v>29.865981844242711</v>
      </c>
    </row>
    <row r="106" spans="1:5" x14ac:dyDescent="0.2">
      <c r="A106">
        <v>105</v>
      </c>
      <c r="B106">
        <v>0</v>
      </c>
      <c r="C106">
        <f t="shared" si="5"/>
        <v>835</v>
      </c>
      <c r="D106">
        <f t="shared" si="6"/>
        <v>196</v>
      </c>
      <c r="E106" s="7">
        <f t="shared" si="7"/>
        <v>30.018633540372669</v>
      </c>
    </row>
    <row r="107" spans="1:5" x14ac:dyDescent="0.2">
      <c r="A107">
        <v>106</v>
      </c>
      <c r="B107">
        <v>0</v>
      </c>
      <c r="C107">
        <f t="shared" si="5"/>
        <v>836</v>
      </c>
      <c r="D107">
        <f t="shared" si="6"/>
        <v>197</v>
      </c>
      <c r="E107" s="7">
        <f t="shared" si="7"/>
        <v>30.171285236502627</v>
      </c>
    </row>
    <row r="108" spans="1:5" x14ac:dyDescent="0.2">
      <c r="A108">
        <v>107</v>
      </c>
      <c r="B108">
        <v>0</v>
      </c>
      <c r="C108">
        <f t="shared" si="5"/>
        <v>837</v>
      </c>
      <c r="D108">
        <f t="shared" si="6"/>
        <v>198</v>
      </c>
      <c r="E108" s="7">
        <f t="shared" si="7"/>
        <v>30.323936932632584</v>
      </c>
    </row>
    <row r="109" spans="1:5" x14ac:dyDescent="0.2">
      <c r="A109">
        <v>108</v>
      </c>
      <c r="B109">
        <v>0</v>
      </c>
      <c r="C109">
        <f t="shared" si="5"/>
        <v>838</v>
      </c>
      <c r="D109">
        <f t="shared" si="6"/>
        <v>199</v>
      </c>
      <c r="E109" s="7">
        <f t="shared" si="7"/>
        <v>30.476588628762538</v>
      </c>
    </row>
    <row r="110" spans="1:5" x14ac:dyDescent="0.2">
      <c r="A110">
        <v>109</v>
      </c>
      <c r="B110">
        <v>0</v>
      </c>
      <c r="C110">
        <f t="shared" si="5"/>
        <v>839</v>
      </c>
      <c r="D110">
        <f t="shared" si="6"/>
        <v>200</v>
      </c>
      <c r="E110" s="7">
        <f t="shared" si="7"/>
        <v>30.629240324892496</v>
      </c>
    </row>
    <row r="111" spans="1:5" x14ac:dyDescent="0.2">
      <c r="A111">
        <v>110</v>
      </c>
      <c r="B111">
        <v>0</v>
      </c>
      <c r="C111">
        <f t="shared" si="5"/>
        <v>840</v>
      </c>
      <c r="D111">
        <f t="shared" si="6"/>
        <v>201</v>
      </c>
      <c r="E111" s="7">
        <f t="shared" si="7"/>
        <v>30.781892021022454</v>
      </c>
    </row>
    <row r="112" spans="1:5" x14ac:dyDescent="0.2">
      <c r="A112">
        <v>111</v>
      </c>
      <c r="B112">
        <v>0</v>
      </c>
      <c r="C112">
        <f t="shared" si="5"/>
        <v>841</v>
      </c>
      <c r="D112">
        <f t="shared" si="6"/>
        <v>202</v>
      </c>
      <c r="E112" s="7">
        <f t="shared" si="7"/>
        <v>30.934543717152412</v>
      </c>
    </row>
    <row r="113" spans="1:5" x14ac:dyDescent="0.2">
      <c r="A113">
        <v>112</v>
      </c>
      <c r="B113">
        <v>0</v>
      </c>
      <c r="C113">
        <f t="shared" si="5"/>
        <v>842</v>
      </c>
      <c r="D113">
        <f t="shared" si="6"/>
        <v>203</v>
      </c>
      <c r="E113" s="7">
        <f t="shared" si="7"/>
        <v>31.08719541328237</v>
      </c>
    </row>
    <row r="114" spans="1:5" x14ac:dyDescent="0.2">
      <c r="A114">
        <v>113</v>
      </c>
      <c r="B114">
        <v>0</v>
      </c>
      <c r="C114">
        <f t="shared" si="5"/>
        <v>843</v>
      </c>
      <c r="D114">
        <f t="shared" si="6"/>
        <v>204</v>
      </c>
      <c r="E114" s="7">
        <f t="shared" si="7"/>
        <v>31.239847109412324</v>
      </c>
    </row>
    <row r="115" spans="1:5" x14ac:dyDescent="0.2">
      <c r="A115">
        <v>114</v>
      </c>
      <c r="B115">
        <v>0</v>
      </c>
      <c r="C115">
        <f t="shared" si="5"/>
        <v>844</v>
      </c>
      <c r="D115">
        <f t="shared" si="6"/>
        <v>205</v>
      </c>
      <c r="E115" s="7">
        <f t="shared" si="7"/>
        <v>31.392498805542282</v>
      </c>
    </row>
    <row r="116" spans="1:5" x14ac:dyDescent="0.2">
      <c r="A116">
        <v>115</v>
      </c>
      <c r="B116">
        <v>0</v>
      </c>
      <c r="C116">
        <f t="shared" si="5"/>
        <v>845</v>
      </c>
      <c r="D116">
        <f t="shared" si="6"/>
        <v>206</v>
      </c>
      <c r="E116" s="7">
        <f t="shared" si="7"/>
        <v>31.545150501672239</v>
      </c>
    </row>
    <row r="117" spans="1:5" x14ac:dyDescent="0.2">
      <c r="A117">
        <v>116</v>
      </c>
      <c r="B117">
        <v>0</v>
      </c>
      <c r="C117">
        <f t="shared" si="5"/>
        <v>846</v>
      </c>
      <c r="D117">
        <f t="shared" si="6"/>
        <v>207</v>
      </c>
      <c r="E117" s="7">
        <f t="shared" si="7"/>
        <v>31.697802197802197</v>
      </c>
    </row>
    <row r="118" spans="1:5" x14ac:dyDescent="0.2">
      <c r="A118">
        <v>117</v>
      </c>
      <c r="B118">
        <v>0</v>
      </c>
      <c r="C118">
        <f t="shared" si="5"/>
        <v>847</v>
      </c>
      <c r="D118">
        <f t="shared" si="6"/>
        <v>208</v>
      </c>
      <c r="E118" s="7">
        <f t="shared" si="7"/>
        <v>31.850453893932151</v>
      </c>
    </row>
    <row r="119" spans="1:5" x14ac:dyDescent="0.2">
      <c r="A119">
        <v>118</v>
      </c>
      <c r="B119">
        <v>0</v>
      </c>
      <c r="C119">
        <f t="shared" si="5"/>
        <v>848</v>
      </c>
      <c r="D119">
        <f t="shared" si="6"/>
        <v>209</v>
      </c>
      <c r="E119" s="7">
        <f t="shared" si="7"/>
        <v>32.003105590062106</v>
      </c>
    </row>
    <row r="120" spans="1:5" x14ac:dyDescent="0.2">
      <c r="A120">
        <v>119</v>
      </c>
      <c r="B120">
        <v>0</v>
      </c>
      <c r="C120">
        <f t="shared" si="5"/>
        <v>849</v>
      </c>
      <c r="D120">
        <f t="shared" si="6"/>
        <v>210</v>
      </c>
      <c r="E120" s="7">
        <f t="shared" si="7"/>
        <v>32.15575728619207</v>
      </c>
    </row>
    <row r="121" spans="1:5" x14ac:dyDescent="0.2">
      <c r="A121">
        <v>120</v>
      </c>
      <c r="B121">
        <v>0</v>
      </c>
      <c r="C121">
        <f t="shared" si="5"/>
        <v>850</v>
      </c>
      <c r="D121">
        <f t="shared" si="6"/>
        <v>211</v>
      </c>
      <c r="E121" s="7">
        <f t="shared" si="7"/>
        <v>32.308408982322021</v>
      </c>
    </row>
    <row r="122" spans="1:5" x14ac:dyDescent="0.2">
      <c r="A122">
        <v>121</v>
      </c>
      <c r="B122">
        <v>0</v>
      </c>
      <c r="C122">
        <f t="shared" si="5"/>
        <v>851</v>
      </c>
      <c r="D122">
        <f t="shared" si="6"/>
        <v>212</v>
      </c>
      <c r="E122" s="7">
        <f t="shared" si="7"/>
        <v>32.461060678451986</v>
      </c>
    </row>
    <row r="123" spans="1:5" x14ac:dyDescent="0.2">
      <c r="A123">
        <v>122</v>
      </c>
      <c r="B123">
        <v>0</v>
      </c>
      <c r="C123">
        <f t="shared" si="5"/>
        <v>852</v>
      </c>
      <c r="D123">
        <f t="shared" si="6"/>
        <v>213</v>
      </c>
      <c r="E123" s="7">
        <f t="shared" si="7"/>
        <v>32.613712374581937</v>
      </c>
    </row>
    <row r="124" spans="1:5" x14ac:dyDescent="0.2">
      <c r="A124">
        <v>123</v>
      </c>
      <c r="B124">
        <v>0</v>
      </c>
      <c r="C124">
        <f t="shared" si="5"/>
        <v>853</v>
      </c>
      <c r="D124">
        <f t="shared" si="6"/>
        <v>214</v>
      </c>
      <c r="E124" s="7">
        <f t="shared" si="7"/>
        <v>32.766364070711901</v>
      </c>
    </row>
    <row r="125" spans="1:5" x14ac:dyDescent="0.2">
      <c r="A125">
        <v>124</v>
      </c>
      <c r="B125">
        <v>0</v>
      </c>
      <c r="C125">
        <f t="shared" si="5"/>
        <v>854</v>
      </c>
      <c r="D125">
        <f t="shared" si="6"/>
        <v>215</v>
      </c>
      <c r="E125" s="7">
        <f t="shared" si="7"/>
        <v>32.919015766841852</v>
      </c>
    </row>
    <row r="126" spans="1:5" x14ac:dyDescent="0.2">
      <c r="A126">
        <v>125</v>
      </c>
      <c r="B126">
        <v>0</v>
      </c>
      <c r="C126">
        <f t="shared" si="5"/>
        <v>855</v>
      </c>
      <c r="D126">
        <f t="shared" si="6"/>
        <v>216</v>
      </c>
      <c r="E126" s="7">
        <f t="shared" si="7"/>
        <v>33.071667462971803</v>
      </c>
    </row>
    <row r="127" spans="1:5" x14ac:dyDescent="0.2">
      <c r="A127">
        <v>126</v>
      </c>
      <c r="B127">
        <v>0</v>
      </c>
      <c r="C127">
        <f t="shared" si="5"/>
        <v>856</v>
      </c>
      <c r="D127">
        <f t="shared" si="6"/>
        <v>217</v>
      </c>
      <c r="E127" s="7">
        <f t="shared" si="7"/>
        <v>33.224319159101768</v>
      </c>
    </row>
    <row r="128" spans="1:5" x14ac:dyDescent="0.2">
      <c r="A128">
        <v>127</v>
      </c>
      <c r="B128">
        <v>0</v>
      </c>
      <c r="C128">
        <f t="shared" si="5"/>
        <v>857</v>
      </c>
      <c r="D128">
        <f t="shared" si="6"/>
        <v>218</v>
      </c>
      <c r="E128" s="7">
        <f t="shared" si="7"/>
        <v>33.376970855231718</v>
      </c>
    </row>
    <row r="129" spans="1:5" x14ac:dyDescent="0.2">
      <c r="A129">
        <v>128</v>
      </c>
      <c r="B129">
        <v>0</v>
      </c>
      <c r="C129">
        <f t="shared" si="5"/>
        <v>858</v>
      </c>
      <c r="D129">
        <f t="shared" si="6"/>
        <v>219</v>
      </c>
      <c r="E129" s="7">
        <f t="shared" si="7"/>
        <v>33.529622551361683</v>
      </c>
    </row>
    <row r="130" spans="1:5" x14ac:dyDescent="0.2">
      <c r="A130">
        <v>129</v>
      </c>
      <c r="B130">
        <v>0</v>
      </c>
      <c r="C130">
        <f t="shared" si="5"/>
        <v>859</v>
      </c>
      <c r="D130">
        <f t="shared" si="6"/>
        <v>220</v>
      </c>
      <c r="E130" s="7">
        <f t="shared" si="7"/>
        <v>33.682274247491634</v>
      </c>
    </row>
    <row r="131" spans="1:5" x14ac:dyDescent="0.2">
      <c r="A131">
        <v>130</v>
      </c>
      <c r="B131">
        <v>0</v>
      </c>
      <c r="C131">
        <f t="shared" ref="C131:C194" si="8">A131+730</f>
        <v>860</v>
      </c>
      <c r="D131">
        <f t="shared" ref="D131:D194" si="9">C131-640+1</f>
        <v>221</v>
      </c>
      <c r="E131" s="7">
        <f t="shared" ref="E131:E194" si="10">$I$16*D131+$I$17</f>
        <v>33.834925943621599</v>
      </c>
    </row>
    <row r="132" spans="1:5" x14ac:dyDescent="0.2">
      <c r="A132">
        <v>131</v>
      </c>
      <c r="B132">
        <v>0</v>
      </c>
      <c r="C132">
        <f t="shared" si="8"/>
        <v>861</v>
      </c>
      <c r="D132">
        <f t="shared" si="9"/>
        <v>222</v>
      </c>
      <c r="E132" s="7">
        <f t="shared" si="10"/>
        <v>33.987577639751549</v>
      </c>
    </row>
    <row r="133" spans="1:5" x14ac:dyDescent="0.2">
      <c r="A133">
        <v>132</v>
      </c>
      <c r="B133">
        <v>0</v>
      </c>
      <c r="C133">
        <f t="shared" si="8"/>
        <v>862</v>
      </c>
      <c r="D133">
        <f t="shared" si="9"/>
        <v>223</v>
      </c>
      <c r="E133" s="7">
        <f t="shared" si="10"/>
        <v>34.140229335881514</v>
      </c>
    </row>
    <row r="134" spans="1:5" x14ac:dyDescent="0.2">
      <c r="A134">
        <v>133</v>
      </c>
      <c r="B134">
        <v>0</v>
      </c>
      <c r="C134">
        <f t="shared" si="8"/>
        <v>863</v>
      </c>
      <c r="D134">
        <f t="shared" si="9"/>
        <v>224</v>
      </c>
      <c r="E134" s="7">
        <f t="shared" si="10"/>
        <v>34.292881032011465</v>
      </c>
    </row>
    <row r="135" spans="1:5" x14ac:dyDescent="0.2">
      <c r="A135">
        <v>134</v>
      </c>
      <c r="B135">
        <v>0</v>
      </c>
      <c r="C135">
        <f t="shared" si="8"/>
        <v>864</v>
      </c>
      <c r="D135">
        <f t="shared" si="9"/>
        <v>225</v>
      </c>
      <c r="E135" s="7">
        <f t="shared" si="10"/>
        <v>34.445532728141416</v>
      </c>
    </row>
    <row r="136" spans="1:5" x14ac:dyDescent="0.2">
      <c r="A136">
        <v>135</v>
      </c>
      <c r="B136">
        <v>0</v>
      </c>
      <c r="C136">
        <f t="shared" si="8"/>
        <v>865</v>
      </c>
      <c r="D136">
        <f t="shared" si="9"/>
        <v>226</v>
      </c>
      <c r="E136" s="7">
        <f t="shared" si="10"/>
        <v>34.598184424271381</v>
      </c>
    </row>
    <row r="137" spans="1:5" x14ac:dyDescent="0.2">
      <c r="A137">
        <v>136</v>
      </c>
      <c r="B137">
        <v>0</v>
      </c>
      <c r="C137">
        <f t="shared" si="8"/>
        <v>866</v>
      </c>
      <c r="D137">
        <f t="shared" si="9"/>
        <v>227</v>
      </c>
      <c r="E137" s="7">
        <f t="shared" si="10"/>
        <v>34.750836120401331</v>
      </c>
    </row>
    <row r="138" spans="1:5" x14ac:dyDescent="0.2">
      <c r="A138">
        <v>137</v>
      </c>
      <c r="B138">
        <v>0</v>
      </c>
      <c r="C138">
        <f t="shared" si="8"/>
        <v>867</v>
      </c>
      <c r="D138">
        <f t="shared" si="9"/>
        <v>228</v>
      </c>
      <c r="E138" s="7">
        <f t="shared" si="10"/>
        <v>34.903487816531296</v>
      </c>
    </row>
    <row r="139" spans="1:5" x14ac:dyDescent="0.2">
      <c r="A139">
        <v>138</v>
      </c>
      <c r="B139">
        <v>0</v>
      </c>
      <c r="C139">
        <f t="shared" si="8"/>
        <v>868</v>
      </c>
      <c r="D139">
        <f t="shared" si="9"/>
        <v>229</v>
      </c>
      <c r="E139" s="7">
        <f t="shared" si="10"/>
        <v>35.056139512661247</v>
      </c>
    </row>
    <row r="140" spans="1:5" x14ac:dyDescent="0.2">
      <c r="A140">
        <v>139</v>
      </c>
      <c r="B140">
        <v>0</v>
      </c>
      <c r="C140">
        <f t="shared" si="8"/>
        <v>869</v>
      </c>
      <c r="D140">
        <f t="shared" si="9"/>
        <v>230</v>
      </c>
      <c r="E140" s="7">
        <f t="shared" si="10"/>
        <v>35.208791208791212</v>
      </c>
    </row>
    <row r="141" spans="1:5" x14ac:dyDescent="0.2">
      <c r="A141">
        <v>140</v>
      </c>
      <c r="B141">
        <v>0</v>
      </c>
      <c r="C141">
        <f t="shared" si="8"/>
        <v>870</v>
      </c>
      <c r="D141">
        <f t="shared" si="9"/>
        <v>231</v>
      </c>
      <c r="E141" s="7">
        <f t="shared" si="10"/>
        <v>35.361442904921162</v>
      </c>
    </row>
    <row r="142" spans="1:5" x14ac:dyDescent="0.2">
      <c r="A142">
        <v>141</v>
      </c>
      <c r="B142">
        <v>0</v>
      </c>
      <c r="C142">
        <f t="shared" si="8"/>
        <v>871</v>
      </c>
      <c r="D142">
        <f t="shared" si="9"/>
        <v>232</v>
      </c>
      <c r="E142" s="7">
        <f t="shared" si="10"/>
        <v>35.514094601051127</v>
      </c>
    </row>
    <row r="143" spans="1:5" x14ac:dyDescent="0.2">
      <c r="A143">
        <v>142</v>
      </c>
      <c r="B143">
        <v>0</v>
      </c>
      <c r="C143">
        <f t="shared" si="8"/>
        <v>872</v>
      </c>
      <c r="D143">
        <f t="shared" si="9"/>
        <v>233</v>
      </c>
      <c r="E143" s="7">
        <f t="shared" si="10"/>
        <v>35.666746297181078</v>
      </c>
    </row>
    <row r="144" spans="1:5" x14ac:dyDescent="0.2">
      <c r="A144">
        <v>143</v>
      </c>
      <c r="B144">
        <v>0</v>
      </c>
      <c r="C144">
        <f t="shared" si="8"/>
        <v>873</v>
      </c>
      <c r="D144">
        <f t="shared" si="9"/>
        <v>234</v>
      </c>
      <c r="E144" s="7">
        <f t="shared" si="10"/>
        <v>35.819397993311028</v>
      </c>
    </row>
    <row r="145" spans="1:5" x14ac:dyDescent="0.2">
      <c r="A145">
        <v>144</v>
      </c>
      <c r="B145">
        <v>0</v>
      </c>
      <c r="C145">
        <f t="shared" si="8"/>
        <v>874</v>
      </c>
      <c r="D145">
        <f t="shared" si="9"/>
        <v>235</v>
      </c>
      <c r="E145" s="7">
        <f t="shared" si="10"/>
        <v>35.972049689440993</v>
      </c>
    </row>
    <row r="146" spans="1:5" x14ac:dyDescent="0.2">
      <c r="A146">
        <v>145</v>
      </c>
      <c r="B146">
        <v>0</v>
      </c>
      <c r="C146">
        <f t="shared" si="8"/>
        <v>875</v>
      </c>
      <c r="D146">
        <f t="shared" si="9"/>
        <v>236</v>
      </c>
      <c r="E146" s="7">
        <f t="shared" si="10"/>
        <v>36.124701385570944</v>
      </c>
    </row>
    <row r="147" spans="1:5" x14ac:dyDescent="0.2">
      <c r="A147">
        <v>146</v>
      </c>
      <c r="B147">
        <v>0</v>
      </c>
      <c r="C147">
        <f t="shared" si="8"/>
        <v>876</v>
      </c>
      <c r="D147">
        <f t="shared" si="9"/>
        <v>237</v>
      </c>
      <c r="E147" s="7">
        <f t="shared" si="10"/>
        <v>36.277353081700909</v>
      </c>
    </row>
    <row r="148" spans="1:5" x14ac:dyDescent="0.2">
      <c r="A148">
        <v>147</v>
      </c>
      <c r="B148">
        <v>0</v>
      </c>
      <c r="C148">
        <f t="shared" si="8"/>
        <v>877</v>
      </c>
      <c r="D148">
        <f t="shared" si="9"/>
        <v>238</v>
      </c>
      <c r="E148" s="7">
        <f t="shared" si="10"/>
        <v>36.43000477783086</v>
      </c>
    </row>
    <row r="149" spans="1:5" x14ac:dyDescent="0.2">
      <c r="A149">
        <v>148</v>
      </c>
      <c r="B149">
        <v>0</v>
      </c>
      <c r="C149">
        <f t="shared" si="8"/>
        <v>878</v>
      </c>
      <c r="D149">
        <f t="shared" si="9"/>
        <v>239</v>
      </c>
      <c r="E149" s="7">
        <f t="shared" si="10"/>
        <v>36.582656473960824</v>
      </c>
    </row>
    <row r="150" spans="1:5" x14ac:dyDescent="0.2">
      <c r="A150">
        <v>149</v>
      </c>
      <c r="B150">
        <v>0</v>
      </c>
      <c r="C150">
        <f t="shared" si="8"/>
        <v>879</v>
      </c>
      <c r="D150">
        <f t="shared" si="9"/>
        <v>240</v>
      </c>
      <c r="E150" s="7">
        <f t="shared" si="10"/>
        <v>36.735308170090775</v>
      </c>
    </row>
    <row r="151" spans="1:5" x14ac:dyDescent="0.2">
      <c r="A151">
        <v>150</v>
      </c>
      <c r="B151">
        <v>0</v>
      </c>
      <c r="C151">
        <f t="shared" si="8"/>
        <v>880</v>
      </c>
      <c r="D151">
        <f t="shared" si="9"/>
        <v>241</v>
      </c>
      <c r="E151" s="7">
        <f t="shared" si="10"/>
        <v>36.88795986622074</v>
      </c>
    </row>
    <row r="152" spans="1:5" x14ac:dyDescent="0.2">
      <c r="A152">
        <v>151</v>
      </c>
      <c r="B152">
        <v>0</v>
      </c>
      <c r="C152">
        <f t="shared" si="8"/>
        <v>881</v>
      </c>
      <c r="D152">
        <f t="shared" si="9"/>
        <v>242</v>
      </c>
      <c r="E152" s="7">
        <f t="shared" si="10"/>
        <v>37.040611562350691</v>
      </c>
    </row>
    <row r="153" spans="1:5" x14ac:dyDescent="0.2">
      <c r="A153">
        <v>152</v>
      </c>
      <c r="B153">
        <v>0</v>
      </c>
      <c r="C153">
        <f t="shared" si="8"/>
        <v>882</v>
      </c>
      <c r="D153">
        <f t="shared" si="9"/>
        <v>243</v>
      </c>
      <c r="E153" s="7">
        <f t="shared" si="10"/>
        <v>37.193263258480641</v>
      </c>
    </row>
    <row r="154" spans="1:5" x14ac:dyDescent="0.2">
      <c r="A154">
        <v>153</v>
      </c>
      <c r="B154">
        <v>0</v>
      </c>
      <c r="C154">
        <f t="shared" si="8"/>
        <v>883</v>
      </c>
      <c r="D154">
        <f t="shared" si="9"/>
        <v>244</v>
      </c>
      <c r="E154" s="7">
        <f t="shared" si="10"/>
        <v>37.345914954610606</v>
      </c>
    </row>
    <row r="155" spans="1:5" x14ac:dyDescent="0.2">
      <c r="A155">
        <v>154</v>
      </c>
      <c r="B155">
        <v>0</v>
      </c>
      <c r="C155">
        <f t="shared" si="8"/>
        <v>884</v>
      </c>
      <c r="D155">
        <f t="shared" si="9"/>
        <v>245</v>
      </c>
      <c r="E155" s="7">
        <f t="shared" si="10"/>
        <v>37.498566650740557</v>
      </c>
    </row>
    <row r="156" spans="1:5" x14ac:dyDescent="0.2">
      <c r="A156">
        <v>155</v>
      </c>
      <c r="B156">
        <v>0</v>
      </c>
      <c r="C156">
        <f t="shared" si="8"/>
        <v>885</v>
      </c>
      <c r="D156">
        <f t="shared" si="9"/>
        <v>246</v>
      </c>
      <c r="E156" s="7">
        <f t="shared" si="10"/>
        <v>37.651218346870522</v>
      </c>
    </row>
    <row r="157" spans="1:5" x14ac:dyDescent="0.2">
      <c r="A157">
        <v>156</v>
      </c>
      <c r="B157">
        <v>0</v>
      </c>
      <c r="C157">
        <f t="shared" si="8"/>
        <v>886</v>
      </c>
      <c r="D157">
        <f t="shared" si="9"/>
        <v>247</v>
      </c>
      <c r="E157" s="7">
        <f t="shared" si="10"/>
        <v>37.803870043000472</v>
      </c>
    </row>
    <row r="158" spans="1:5" x14ac:dyDescent="0.2">
      <c r="A158">
        <v>157</v>
      </c>
      <c r="B158">
        <v>0</v>
      </c>
      <c r="C158">
        <f t="shared" si="8"/>
        <v>887</v>
      </c>
      <c r="D158">
        <f t="shared" si="9"/>
        <v>248</v>
      </c>
      <c r="E158" s="7">
        <f t="shared" si="10"/>
        <v>37.956521739130437</v>
      </c>
    </row>
    <row r="159" spans="1:5" x14ac:dyDescent="0.2">
      <c r="A159">
        <v>158</v>
      </c>
      <c r="B159">
        <v>0</v>
      </c>
      <c r="C159">
        <f t="shared" si="8"/>
        <v>888</v>
      </c>
      <c r="D159">
        <f t="shared" si="9"/>
        <v>249</v>
      </c>
      <c r="E159" s="7">
        <f t="shared" si="10"/>
        <v>38.109173435260388</v>
      </c>
    </row>
    <row r="160" spans="1:5" x14ac:dyDescent="0.2">
      <c r="A160">
        <v>159</v>
      </c>
      <c r="B160">
        <v>0</v>
      </c>
      <c r="C160">
        <f t="shared" si="8"/>
        <v>889</v>
      </c>
      <c r="D160">
        <f t="shared" si="9"/>
        <v>250</v>
      </c>
      <c r="E160" s="7">
        <f t="shared" si="10"/>
        <v>38.261825131390353</v>
      </c>
    </row>
    <row r="161" spans="1:5" x14ac:dyDescent="0.2">
      <c r="A161">
        <v>160</v>
      </c>
      <c r="B161">
        <v>0</v>
      </c>
      <c r="C161">
        <f t="shared" si="8"/>
        <v>890</v>
      </c>
      <c r="D161">
        <f t="shared" si="9"/>
        <v>251</v>
      </c>
      <c r="E161" s="7">
        <f t="shared" si="10"/>
        <v>38.414476827520303</v>
      </c>
    </row>
    <row r="162" spans="1:5" x14ac:dyDescent="0.2">
      <c r="A162">
        <v>161</v>
      </c>
      <c r="B162">
        <v>0</v>
      </c>
      <c r="C162">
        <f t="shared" si="8"/>
        <v>891</v>
      </c>
      <c r="D162">
        <f t="shared" si="9"/>
        <v>252</v>
      </c>
      <c r="E162" s="7">
        <f t="shared" si="10"/>
        <v>38.567128523650254</v>
      </c>
    </row>
    <row r="163" spans="1:5" x14ac:dyDescent="0.2">
      <c r="A163">
        <v>162</v>
      </c>
      <c r="B163">
        <v>0</v>
      </c>
      <c r="C163">
        <f t="shared" si="8"/>
        <v>892</v>
      </c>
      <c r="D163">
        <f t="shared" si="9"/>
        <v>253</v>
      </c>
      <c r="E163" s="7">
        <f t="shared" si="10"/>
        <v>38.719780219780219</v>
      </c>
    </row>
    <row r="164" spans="1:5" x14ac:dyDescent="0.2">
      <c r="A164">
        <v>163</v>
      </c>
      <c r="B164">
        <v>0</v>
      </c>
      <c r="C164">
        <f t="shared" si="8"/>
        <v>893</v>
      </c>
      <c r="D164">
        <f t="shared" si="9"/>
        <v>254</v>
      </c>
      <c r="E164" s="7">
        <f t="shared" si="10"/>
        <v>38.87243191591017</v>
      </c>
    </row>
    <row r="165" spans="1:5" x14ac:dyDescent="0.2">
      <c r="A165">
        <v>164</v>
      </c>
      <c r="B165">
        <v>0</v>
      </c>
      <c r="C165">
        <f t="shared" si="8"/>
        <v>894</v>
      </c>
      <c r="D165">
        <f t="shared" si="9"/>
        <v>255</v>
      </c>
      <c r="E165" s="7">
        <f t="shared" si="10"/>
        <v>39.025083612040135</v>
      </c>
    </row>
    <row r="166" spans="1:5" x14ac:dyDescent="0.2">
      <c r="A166">
        <v>165</v>
      </c>
      <c r="B166">
        <v>0</v>
      </c>
      <c r="C166">
        <f t="shared" si="8"/>
        <v>895</v>
      </c>
      <c r="D166">
        <f t="shared" si="9"/>
        <v>256</v>
      </c>
      <c r="E166" s="7">
        <f t="shared" si="10"/>
        <v>39.177735308170085</v>
      </c>
    </row>
    <row r="167" spans="1:5" x14ac:dyDescent="0.2">
      <c r="A167">
        <v>166</v>
      </c>
      <c r="B167">
        <v>0</v>
      </c>
      <c r="C167">
        <f t="shared" si="8"/>
        <v>896</v>
      </c>
      <c r="D167">
        <f t="shared" si="9"/>
        <v>257</v>
      </c>
      <c r="E167" s="7">
        <f t="shared" si="10"/>
        <v>39.33038700430005</v>
      </c>
    </row>
    <row r="168" spans="1:5" x14ac:dyDescent="0.2">
      <c r="A168">
        <v>167</v>
      </c>
      <c r="B168">
        <v>0</v>
      </c>
      <c r="C168">
        <f t="shared" si="8"/>
        <v>897</v>
      </c>
      <c r="D168">
        <f t="shared" si="9"/>
        <v>258</v>
      </c>
      <c r="E168" s="7">
        <f t="shared" si="10"/>
        <v>39.483038700430001</v>
      </c>
    </row>
    <row r="169" spans="1:5" x14ac:dyDescent="0.2">
      <c r="A169">
        <v>168</v>
      </c>
      <c r="B169">
        <v>0</v>
      </c>
      <c r="C169">
        <f t="shared" si="8"/>
        <v>898</v>
      </c>
      <c r="D169">
        <f t="shared" si="9"/>
        <v>259</v>
      </c>
      <c r="E169" s="7">
        <f t="shared" si="10"/>
        <v>39.635690396559966</v>
      </c>
    </row>
    <row r="170" spans="1:5" x14ac:dyDescent="0.2">
      <c r="A170">
        <v>169</v>
      </c>
      <c r="B170">
        <v>0</v>
      </c>
      <c r="C170">
        <f t="shared" si="8"/>
        <v>899</v>
      </c>
      <c r="D170">
        <f t="shared" si="9"/>
        <v>260</v>
      </c>
      <c r="E170" s="7">
        <f t="shared" si="10"/>
        <v>39.788342092689916</v>
      </c>
    </row>
    <row r="171" spans="1:5" x14ac:dyDescent="0.2">
      <c r="A171">
        <v>170</v>
      </c>
      <c r="B171">
        <v>0</v>
      </c>
      <c r="C171">
        <f t="shared" si="8"/>
        <v>900</v>
      </c>
      <c r="D171">
        <f t="shared" si="9"/>
        <v>261</v>
      </c>
      <c r="E171" s="7">
        <f t="shared" si="10"/>
        <v>39.940993788819867</v>
      </c>
    </row>
    <row r="172" spans="1:5" x14ac:dyDescent="0.2">
      <c r="A172">
        <v>171</v>
      </c>
      <c r="B172">
        <v>0</v>
      </c>
      <c r="C172">
        <f t="shared" si="8"/>
        <v>901</v>
      </c>
      <c r="D172">
        <f t="shared" si="9"/>
        <v>262</v>
      </c>
      <c r="E172" s="7">
        <f t="shared" si="10"/>
        <v>40.093645484949832</v>
      </c>
    </row>
    <row r="173" spans="1:5" x14ac:dyDescent="0.2">
      <c r="A173">
        <v>172</v>
      </c>
      <c r="B173">
        <v>0</v>
      </c>
      <c r="C173">
        <f t="shared" si="8"/>
        <v>902</v>
      </c>
      <c r="D173">
        <f t="shared" si="9"/>
        <v>263</v>
      </c>
      <c r="E173" s="7">
        <f t="shared" si="10"/>
        <v>40.246297181079782</v>
      </c>
    </row>
    <row r="174" spans="1:5" x14ac:dyDescent="0.2">
      <c r="A174">
        <v>173</v>
      </c>
      <c r="B174">
        <v>0</v>
      </c>
      <c r="C174">
        <f t="shared" si="8"/>
        <v>903</v>
      </c>
      <c r="D174">
        <f t="shared" si="9"/>
        <v>264</v>
      </c>
      <c r="E174" s="7">
        <f t="shared" si="10"/>
        <v>40.398948877209747</v>
      </c>
    </row>
    <row r="175" spans="1:5" x14ac:dyDescent="0.2">
      <c r="A175">
        <v>174</v>
      </c>
      <c r="B175">
        <v>0</v>
      </c>
      <c r="C175">
        <f t="shared" si="8"/>
        <v>904</v>
      </c>
      <c r="D175">
        <f t="shared" si="9"/>
        <v>265</v>
      </c>
      <c r="E175" s="7">
        <f t="shared" si="10"/>
        <v>40.551600573339698</v>
      </c>
    </row>
    <row r="176" spans="1:5" x14ac:dyDescent="0.2">
      <c r="A176">
        <v>175</v>
      </c>
      <c r="B176">
        <v>0</v>
      </c>
      <c r="C176">
        <f t="shared" si="8"/>
        <v>905</v>
      </c>
      <c r="D176">
        <f t="shared" si="9"/>
        <v>266</v>
      </c>
      <c r="E176" s="7">
        <f t="shared" si="10"/>
        <v>40.704252269469663</v>
      </c>
    </row>
    <row r="177" spans="1:5" x14ac:dyDescent="0.2">
      <c r="A177">
        <v>176</v>
      </c>
      <c r="B177">
        <v>0</v>
      </c>
      <c r="C177">
        <f t="shared" si="8"/>
        <v>906</v>
      </c>
      <c r="D177">
        <f t="shared" si="9"/>
        <v>267</v>
      </c>
      <c r="E177" s="7">
        <f t="shared" si="10"/>
        <v>40.856903965599614</v>
      </c>
    </row>
    <row r="178" spans="1:5" x14ac:dyDescent="0.2">
      <c r="A178">
        <v>177</v>
      </c>
      <c r="B178">
        <v>0</v>
      </c>
      <c r="C178">
        <f t="shared" si="8"/>
        <v>907</v>
      </c>
      <c r="D178">
        <f t="shared" si="9"/>
        <v>268</v>
      </c>
      <c r="E178" s="7">
        <f t="shared" si="10"/>
        <v>41.009555661729578</v>
      </c>
    </row>
    <row r="179" spans="1:5" x14ac:dyDescent="0.2">
      <c r="A179">
        <v>178</v>
      </c>
      <c r="B179">
        <v>0</v>
      </c>
      <c r="C179">
        <f t="shared" si="8"/>
        <v>908</v>
      </c>
      <c r="D179">
        <f t="shared" si="9"/>
        <v>269</v>
      </c>
      <c r="E179" s="7">
        <f t="shared" si="10"/>
        <v>41.162207357859529</v>
      </c>
    </row>
    <row r="180" spans="1:5" x14ac:dyDescent="0.2">
      <c r="A180">
        <v>179</v>
      </c>
      <c r="B180">
        <v>0</v>
      </c>
      <c r="C180">
        <f t="shared" si="8"/>
        <v>909</v>
      </c>
      <c r="D180">
        <f t="shared" si="9"/>
        <v>270</v>
      </c>
      <c r="E180" s="7">
        <f t="shared" si="10"/>
        <v>41.31485905398948</v>
      </c>
    </row>
    <row r="181" spans="1:5" x14ac:dyDescent="0.2">
      <c r="A181">
        <v>180</v>
      </c>
      <c r="B181">
        <v>0</v>
      </c>
      <c r="C181">
        <f t="shared" si="8"/>
        <v>910</v>
      </c>
      <c r="D181">
        <f t="shared" si="9"/>
        <v>271</v>
      </c>
      <c r="E181" s="7">
        <f t="shared" si="10"/>
        <v>41.467510750119445</v>
      </c>
    </row>
    <row r="182" spans="1:5" x14ac:dyDescent="0.2">
      <c r="A182">
        <v>181</v>
      </c>
      <c r="B182">
        <v>0</v>
      </c>
      <c r="C182">
        <f t="shared" si="8"/>
        <v>911</v>
      </c>
      <c r="D182">
        <f t="shared" si="9"/>
        <v>272</v>
      </c>
      <c r="E182" s="7">
        <f t="shared" si="10"/>
        <v>41.620162446249395</v>
      </c>
    </row>
    <row r="183" spans="1:5" x14ac:dyDescent="0.2">
      <c r="A183">
        <v>182</v>
      </c>
      <c r="B183">
        <v>0</v>
      </c>
      <c r="C183">
        <f t="shared" si="8"/>
        <v>912</v>
      </c>
      <c r="D183">
        <f t="shared" si="9"/>
        <v>273</v>
      </c>
      <c r="E183" s="7">
        <f t="shared" si="10"/>
        <v>41.77281414237936</v>
      </c>
    </row>
    <row r="184" spans="1:5" x14ac:dyDescent="0.2">
      <c r="A184">
        <v>183</v>
      </c>
      <c r="B184">
        <v>0</v>
      </c>
      <c r="C184">
        <f t="shared" si="8"/>
        <v>913</v>
      </c>
      <c r="D184">
        <f t="shared" si="9"/>
        <v>274</v>
      </c>
      <c r="E184" s="7">
        <f t="shared" si="10"/>
        <v>41.925465838509311</v>
      </c>
    </row>
    <row r="185" spans="1:5" x14ac:dyDescent="0.2">
      <c r="A185">
        <v>184</v>
      </c>
      <c r="B185">
        <v>0</v>
      </c>
      <c r="C185">
        <f t="shared" si="8"/>
        <v>914</v>
      </c>
      <c r="D185">
        <f t="shared" si="9"/>
        <v>275</v>
      </c>
      <c r="E185" s="7">
        <f t="shared" si="10"/>
        <v>42.078117534639276</v>
      </c>
    </row>
    <row r="186" spans="1:5" x14ac:dyDescent="0.2">
      <c r="A186">
        <v>185</v>
      </c>
      <c r="B186">
        <v>0</v>
      </c>
      <c r="C186">
        <f t="shared" si="8"/>
        <v>915</v>
      </c>
      <c r="D186">
        <f t="shared" si="9"/>
        <v>276</v>
      </c>
      <c r="E186" s="7">
        <f t="shared" si="10"/>
        <v>42.230769230769226</v>
      </c>
    </row>
    <row r="187" spans="1:5" x14ac:dyDescent="0.2">
      <c r="A187">
        <v>186</v>
      </c>
      <c r="B187">
        <v>0</v>
      </c>
      <c r="C187">
        <f t="shared" si="8"/>
        <v>916</v>
      </c>
      <c r="D187">
        <f t="shared" si="9"/>
        <v>277</v>
      </c>
      <c r="E187" s="7">
        <f t="shared" si="10"/>
        <v>42.383420926899191</v>
      </c>
    </row>
    <row r="188" spans="1:5" x14ac:dyDescent="0.2">
      <c r="A188">
        <v>187</v>
      </c>
      <c r="B188">
        <v>0</v>
      </c>
      <c r="C188">
        <f t="shared" si="8"/>
        <v>917</v>
      </c>
      <c r="D188">
        <f t="shared" si="9"/>
        <v>278</v>
      </c>
      <c r="E188" s="7">
        <f t="shared" si="10"/>
        <v>42.536072623029142</v>
      </c>
    </row>
    <row r="189" spans="1:5" x14ac:dyDescent="0.2">
      <c r="A189">
        <v>188</v>
      </c>
      <c r="B189">
        <v>0</v>
      </c>
      <c r="C189">
        <f t="shared" si="8"/>
        <v>918</v>
      </c>
      <c r="D189">
        <f t="shared" si="9"/>
        <v>279</v>
      </c>
      <c r="E189" s="7">
        <f t="shared" si="10"/>
        <v>42.688724319159093</v>
      </c>
    </row>
    <row r="190" spans="1:5" x14ac:dyDescent="0.2">
      <c r="A190">
        <v>189</v>
      </c>
      <c r="B190">
        <v>0</v>
      </c>
      <c r="C190">
        <f t="shared" si="8"/>
        <v>919</v>
      </c>
      <c r="D190">
        <f t="shared" si="9"/>
        <v>280</v>
      </c>
      <c r="E190" s="7">
        <f t="shared" si="10"/>
        <v>42.841376015289057</v>
      </c>
    </row>
    <row r="191" spans="1:5" x14ac:dyDescent="0.2">
      <c r="A191">
        <v>190</v>
      </c>
      <c r="B191">
        <v>0</v>
      </c>
      <c r="C191">
        <f t="shared" si="8"/>
        <v>920</v>
      </c>
      <c r="D191">
        <f t="shared" si="9"/>
        <v>281</v>
      </c>
      <c r="E191" s="7">
        <f t="shared" si="10"/>
        <v>42.994027711419008</v>
      </c>
    </row>
    <row r="192" spans="1:5" x14ac:dyDescent="0.2">
      <c r="A192">
        <v>191</v>
      </c>
      <c r="B192">
        <v>0</v>
      </c>
      <c r="C192">
        <f t="shared" si="8"/>
        <v>921</v>
      </c>
      <c r="D192">
        <f t="shared" si="9"/>
        <v>282</v>
      </c>
      <c r="E192" s="7">
        <f t="shared" si="10"/>
        <v>43.146679407548973</v>
      </c>
    </row>
    <row r="193" spans="1:5" x14ac:dyDescent="0.2">
      <c r="A193">
        <v>192</v>
      </c>
      <c r="B193">
        <v>0</v>
      </c>
      <c r="C193">
        <f t="shared" si="8"/>
        <v>922</v>
      </c>
      <c r="D193">
        <f t="shared" si="9"/>
        <v>283</v>
      </c>
      <c r="E193" s="7">
        <f t="shared" si="10"/>
        <v>43.299331103678924</v>
      </c>
    </row>
    <row r="194" spans="1:5" x14ac:dyDescent="0.2">
      <c r="A194">
        <v>193</v>
      </c>
      <c r="B194">
        <v>0</v>
      </c>
      <c r="C194">
        <f t="shared" si="8"/>
        <v>923</v>
      </c>
      <c r="D194">
        <f t="shared" si="9"/>
        <v>284</v>
      </c>
      <c r="E194" s="7">
        <f t="shared" si="10"/>
        <v>43.451982799808889</v>
      </c>
    </row>
    <row r="195" spans="1:5" x14ac:dyDescent="0.2">
      <c r="A195">
        <v>194</v>
      </c>
      <c r="B195">
        <v>0</v>
      </c>
      <c r="C195">
        <f t="shared" ref="C195:C258" si="11">A195+730</f>
        <v>924</v>
      </c>
      <c r="D195">
        <f t="shared" ref="D195:D258" si="12">C195-640+1</f>
        <v>285</v>
      </c>
      <c r="E195" s="7">
        <f t="shared" ref="E195:E258" si="13">$I$16*D195+$I$17</f>
        <v>43.604634495938839</v>
      </c>
    </row>
    <row r="196" spans="1:5" x14ac:dyDescent="0.2">
      <c r="A196">
        <v>195</v>
      </c>
      <c r="B196">
        <v>0</v>
      </c>
      <c r="C196">
        <f t="shared" si="11"/>
        <v>925</v>
      </c>
      <c r="D196">
        <f t="shared" si="12"/>
        <v>286</v>
      </c>
      <c r="E196" s="7">
        <f t="shared" si="13"/>
        <v>43.757286192068804</v>
      </c>
    </row>
    <row r="197" spans="1:5" x14ac:dyDescent="0.2">
      <c r="A197">
        <v>196</v>
      </c>
      <c r="B197">
        <v>0</v>
      </c>
      <c r="C197">
        <f t="shared" si="11"/>
        <v>926</v>
      </c>
      <c r="D197">
        <f t="shared" si="12"/>
        <v>287</v>
      </c>
      <c r="E197" s="7">
        <f t="shared" si="13"/>
        <v>43.909937888198755</v>
      </c>
    </row>
    <row r="198" spans="1:5" x14ac:dyDescent="0.2">
      <c r="A198">
        <v>197</v>
      </c>
      <c r="B198">
        <v>0</v>
      </c>
      <c r="C198">
        <f t="shared" si="11"/>
        <v>927</v>
      </c>
      <c r="D198">
        <f t="shared" si="12"/>
        <v>288</v>
      </c>
      <c r="E198" s="7">
        <f t="shared" si="13"/>
        <v>44.062589584328705</v>
      </c>
    </row>
    <row r="199" spans="1:5" x14ac:dyDescent="0.2">
      <c r="A199">
        <v>198</v>
      </c>
      <c r="B199">
        <v>0</v>
      </c>
      <c r="C199">
        <f t="shared" si="11"/>
        <v>928</v>
      </c>
      <c r="D199">
        <f t="shared" si="12"/>
        <v>289</v>
      </c>
      <c r="E199" s="7">
        <f t="shared" si="13"/>
        <v>44.21524128045867</v>
      </c>
    </row>
    <row r="200" spans="1:5" x14ac:dyDescent="0.2">
      <c r="A200">
        <v>199</v>
      </c>
      <c r="B200">
        <v>0</v>
      </c>
      <c r="C200">
        <f t="shared" si="11"/>
        <v>929</v>
      </c>
      <c r="D200">
        <f t="shared" si="12"/>
        <v>290</v>
      </c>
      <c r="E200" s="7">
        <f t="shared" si="13"/>
        <v>44.367892976588621</v>
      </c>
    </row>
    <row r="201" spans="1:5" x14ac:dyDescent="0.2">
      <c r="A201">
        <v>200</v>
      </c>
      <c r="B201">
        <v>0</v>
      </c>
      <c r="C201">
        <f t="shared" si="11"/>
        <v>930</v>
      </c>
      <c r="D201">
        <f t="shared" si="12"/>
        <v>291</v>
      </c>
      <c r="E201" s="7">
        <f t="shared" si="13"/>
        <v>44.520544672718586</v>
      </c>
    </row>
    <row r="202" spans="1:5" x14ac:dyDescent="0.2">
      <c r="A202">
        <v>201</v>
      </c>
      <c r="B202">
        <v>0</v>
      </c>
      <c r="C202">
        <f t="shared" si="11"/>
        <v>931</v>
      </c>
      <c r="D202">
        <f t="shared" si="12"/>
        <v>292</v>
      </c>
      <c r="E202" s="7">
        <f t="shared" si="13"/>
        <v>44.673196368848537</v>
      </c>
    </row>
    <row r="203" spans="1:5" x14ac:dyDescent="0.2">
      <c r="A203">
        <v>202</v>
      </c>
      <c r="B203">
        <v>0</v>
      </c>
      <c r="C203">
        <f t="shared" si="11"/>
        <v>932</v>
      </c>
      <c r="D203">
        <f t="shared" si="12"/>
        <v>293</v>
      </c>
      <c r="E203" s="7">
        <f t="shared" si="13"/>
        <v>44.825848064978501</v>
      </c>
    </row>
    <row r="204" spans="1:5" x14ac:dyDescent="0.2">
      <c r="A204">
        <v>203</v>
      </c>
      <c r="B204">
        <v>0</v>
      </c>
      <c r="C204">
        <f t="shared" si="11"/>
        <v>933</v>
      </c>
      <c r="D204">
        <f t="shared" si="12"/>
        <v>294</v>
      </c>
      <c r="E204" s="7">
        <f t="shared" si="13"/>
        <v>44.978499761108452</v>
      </c>
    </row>
    <row r="205" spans="1:5" x14ac:dyDescent="0.2">
      <c r="A205">
        <v>204</v>
      </c>
      <c r="B205">
        <v>0</v>
      </c>
      <c r="C205">
        <f t="shared" si="11"/>
        <v>934</v>
      </c>
      <c r="D205">
        <f t="shared" si="12"/>
        <v>295</v>
      </c>
      <c r="E205" s="7">
        <f t="shared" si="13"/>
        <v>45.131151457238417</v>
      </c>
    </row>
    <row r="206" spans="1:5" x14ac:dyDescent="0.2">
      <c r="A206">
        <v>205</v>
      </c>
      <c r="B206">
        <v>0</v>
      </c>
      <c r="C206">
        <f t="shared" si="11"/>
        <v>935</v>
      </c>
      <c r="D206">
        <f t="shared" si="12"/>
        <v>296</v>
      </c>
      <c r="E206" s="7">
        <f t="shared" si="13"/>
        <v>45.283803153368368</v>
      </c>
    </row>
    <row r="207" spans="1:5" x14ac:dyDescent="0.2">
      <c r="A207">
        <v>206</v>
      </c>
      <c r="B207">
        <v>0</v>
      </c>
      <c r="C207">
        <f t="shared" si="11"/>
        <v>936</v>
      </c>
      <c r="D207">
        <f t="shared" si="12"/>
        <v>297</v>
      </c>
      <c r="E207" s="7">
        <f t="shared" si="13"/>
        <v>45.436454849498332</v>
      </c>
    </row>
    <row r="208" spans="1:5" x14ac:dyDescent="0.2">
      <c r="A208">
        <v>207</v>
      </c>
      <c r="B208">
        <v>0</v>
      </c>
      <c r="C208">
        <f t="shared" si="11"/>
        <v>937</v>
      </c>
      <c r="D208">
        <f t="shared" si="12"/>
        <v>298</v>
      </c>
      <c r="E208" s="7">
        <f t="shared" si="13"/>
        <v>45.589106545628283</v>
      </c>
    </row>
    <row r="209" spans="1:5" x14ac:dyDescent="0.2">
      <c r="A209">
        <v>208</v>
      </c>
      <c r="B209">
        <v>0</v>
      </c>
      <c r="C209">
        <f t="shared" si="11"/>
        <v>938</v>
      </c>
      <c r="D209">
        <f t="shared" si="12"/>
        <v>299</v>
      </c>
      <c r="E209" s="7">
        <f t="shared" si="13"/>
        <v>45.741758241758234</v>
      </c>
    </row>
    <row r="210" spans="1:5" x14ac:dyDescent="0.2">
      <c r="A210">
        <v>209</v>
      </c>
      <c r="B210">
        <v>0</v>
      </c>
      <c r="C210">
        <f t="shared" si="11"/>
        <v>939</v>
      </c>
      <c r="D210">
        <f t="shared" si="12"/>
        <v>300</v>
      </c>
      <c r="E210" s="7">
        <f t="shared" si="13"/>
        <v>45.894409937888199</v>
      </c>
    </row>
    <row r="211" spans="1:5" x14ac:dyDescent="0.2">
      <c r="A211">
        <v>210</v>
      </c>
      <c r="B211">
        <v>0</v>
      </c>
      <c r="C211">
        <f t="shared" si="11"/>
        <v>940</v>
      </c>
      <c r="D211">
        <f t="shared" si="12"/>
        <v>301</v>
      </c>
      <c r="E211" s="7">
        <f t="shared" si="13"/>
        <v>46.047061634018149</v>
      </c>
    </row>
    <row r="212" spans="1:5" x14ac:dyDescent="0.2">
      <c r="A212">
        <v>211</v>
      </c>
      <c r="B212">
        <v>0</v>
      </c>
      <c r="C212">
        <f t="shared" si="11"/>
        <v>941</v>
      </c>
      <c r="D212">
        <f t="shared" si="12"/>
        <v>302</v>
      </c>
      <c r="E212" s="7">
        <f t="shared" si="13"/>
        <v>46.199713330148114</v>
      </c>
    </row>
    <row r="213" spans="1:5" x14ac:dyDescent="0.2">
      <c r="A213">
        <v>212</v>
      </c>
      <c r="B213">
        <v>0</v>
      </c>
      <c r="C213">
        <f t="shared" si="11"/>
        <v>942</v>
      </c>
      <c r="D213">
        <f t="shared" si="12"/>
        <v>303</v>
      </c>
      <c r="E213" s="7">
        <f t="shared" si="13"/>
        <v>46.352365026278065</v>
      </c>
    </row>
    <row r="214" spans="1:5" x14ac:dyDescent="0.2">
      <c r="A214">
        <v>213</v>
      </c>
      <c r="B214">
        <v>0</v>
      </c>
      <c r="C214">
        <f t="shared" si="11"/>
        <v>943</v>
      </c>
      <c r="D214">
        <f t="shared" si="12"/>
        <v>304</v>
      </c>
      <c r="E214" s="7">
        <f t="shared" si="13"/>
        <v>46.50501672240803</v>
      </c>
    </row>
    <row r="215" spans="1:5" x14ac:dyDescent="0.2">
      <c r="A215">
        <v>214</v>
      </c>
      <c r="B215">
        <v>0</v>
      </c>
      <c r="C215">
        <f t="shared" si="11"/>
        <v>944</v>
      </c>
      <c r="D215">
        <f t="shared" si="12"/>
        <v>305</v>
      </c>
      <c r="E215" s="7">
        <f t="shared" si="13"/>
        <v>46.65766841853798</v>
      </c>
    </row>
    <row r="216" spans="1:5" x14ac:dyDescent="0.2">
      <c r="A216">
        <v>215</v>
      </c>
      <c r="B216">
        <v>0</v>
      </c>
      <c r="C216">
        <f t="shared" si="11"/>
        <v>945</v>
      </c>
      <c r="D216">
        <f t="shared" si="12"/>
        <v>306</v>
      </c>
      <c r="E216" s="7">
        <f t="shared" si="13"/>
        <v>46.810320114667945</v>
      </c>
    </row>
    <row r="217" spans="1:5" x14ac:dyDescent="0.2">
      <c r="A217">
        <v>216</v>
      </c>
      <c r="B217">
        <v>0</v>
      </c>
      <c r="C217">
        <f t="shared" si="11"/>
        <v>946</v>
      </c>
      <c r="D217">
        <f t="shared" si="12"/>
        <v>307</v>
      </c>
      <c r="E217" s="7">
        <f t="shared" si="13"/>
        <v>46.962971810797896</v>
      </c>
    </row>
    <row r="218" spans="1:5" x14ac:dyDescent="0.2">
      <c r="A218">
        <v>217</v>
      </c>
      <c r="B218">
        <v>0</v>
      </c>
      <c r="C218">
        <f t="shared" si="11"/>
        <v>947</v>
      </c>
      <c r="D218">
        <f t="shared" si="12"/>
        <v>308</v>
      </c>
      <c r="E218" s="7">
        <f t="shared" si="13"/>
        <v>47.115623506927847</v>
      </c>
    </row>
    <row r="219" spans="1:5" x14ac:dyDescent="0.2">
      <c r="A219">
        <v>218</v>
      </c>
      <c r="B219">
        <v>0</v>
      </c>
      <c r="C219">
        <f t="shared" si="11"/>
        <v>948</v>
      </c>
      <c r="D219">
        <f t="shared" si="12"/>
        <v>309</v>
      </c>
      <c r="E219" s="7">
        <f t="shared" si="13"/>
        <v>47.268275203057811</v>
      </c>
    </row>
    <row r="220" spans="1:5" x14ac:dyDescent="0.2">
      <c r="A220">
        <v>219</v>
      </c>
      <c r="B220">
        <v>0</v>
      </c>
      <c r="C220">
        <f t="shared" si="11"/>
        <v>949</v>
      </c>
      <c r="D220">
        <f t="shared" si="12"/>
        <v>310</v>
      </c>
      <c r="E220" s="7">
        <f t="shared" si="13"/>
        <v>47.420926899187762</v>
      </c>
    </row>
    <row r="221" spans="1:5" x14ac:dyDescent="0.2">
      <c r="A221">
        <v>220</v>
      </c>
      <c r="B221">
        <v>0</v>
      </c>
      <c r="C221">
        <f t="shared" si="11"/>
        <v>950</v>
      </c>
      <c r="D221">
        <f t="shared" si="12"/>
        <v>311</v>
      </c>
      <c r="E221" s="7">
        <f t="shared" si="13"/>
        <v>47.573578595317727</v>
      </c>
    </row>
    <row r="222" spans="1:5" x14ac:dyDescent="0.2">
      <c r="A222">
        <v>221</v>
      </c>
      <c r="B222">
        <v>0</v>
      </c>
      <c r="C222">
        <f t="shared" si="11"/>
        <v>951</v>
      </c>
      <c r="D222">
        <f t="shared" si="12"/>
        <v>312</v>
      </c>
      <c r="E222" s="7">
        <f t="shared" si="13"/>
        <v>47.726230291447678</v>
      </c>
    </row>
    <row r="223" spans="1:5" x14ac:dyDescent="0.2">
      <c r="A223">
        <v>222</v>
      </c>
      <c r="B223">
        <v>0</v>
      </c>
      <c r="C223">
        <f t="shared" si="11"/>
        <v>952</v>
      </c>
      <c r="D223">
        <f t="shared" si="12"/>
        <v>313</v>
      </c>
      <c r="E223" s="7">
        <f t="shared" si="13"/>
        <v>47.878881987577643</v>
      </c>
    </row>
    <row r="224" spans="1:5" x14ac:dyDescent="0.2">
      <c r="A224">
        <v>223</v>
      </c>
      <c r="B224">
        <v>0</v>
      </c>
      <c r="C224">
        <f t="shared" si="11"/>
        <v>953</v>
      </c>
      <c r="D224">
        <f t="shared" si="12"/>
        <v>314</v>
      </c>
      <c r="E224" s="7">
        <f t="shared" si="13"/>
        <v>48.031533683707593</v>
      </c>
    </row>
    <row r="225" spans="1:5" x14ac:dyDescent="0.2">
      <c r="A225">
        <v>224</v>
      </c>
      <c r="B225">
        <v>0</v>
      </c>
      <c r="C225">
        <f t="shared" si="11"/>
        <v>954</v>
      </c>
      <c r="D225">
        <f t="shared" si="12"/>
        <v>315</v>
      </c>
      <c r="E225" s="7">
        <f t="shared" si="13"/>
        <v>48.184185379837558</v>
      </c>
    </row>
    <row r="226" spans="1:5" x14ac:dyDescent="0.2">
      <c r="A226">
        <v>225</v>
      </c>
      <c r="B226">
        <v>0</v>
      </c>
      <c r="C226">
        <f t="shared" si="11"/>
        <v>955</v>
      </c>
      <c r="D226">
        <f t="shared" si="12"/>
        <v>316</v>
      </c>
      <c r="E226" s="7">
        <f t="shared" si="13"/>
        <v>48.336837075967509</v>
      </c>
    </row>
    <row r="227" spans="1:5" x14ac:dyDescent="0.2">
      <c r="A227">
        <v>226</v>
      </c>
      <c r="B227">
        <v>0</v>
      </c>
      <c r="C227">
        <f t="shared" si="11"/>
        <v>956</v>
      </c>
      <c r="D227">
        <f t="shared" si="12"/>
        <v>317</v>
      </c>
      <c r="E227" s="7">
        <f t="shared" si="13"/>
        <v>48.489488772097459</v>
      </c>
    </row>
    <row r="228" spans="1:5" x14ac:dyDescent="0.2">
      <c r="A228">
        <v>227</v>
      </c>
      <c r="B228">
        <v>0</v>
      </c>
      <c r="C228">
        <f t="shared" si="11"/>
        <v>957</v>
      </c>
      <c r="D228">
        <f t="shared" si="12"/>
        <v>318</v>
      </c>
      <c r="E228" s="7">
        <f t="shared" si="13"/>
        <v>48.642140468227424</v>
      </c>
    </row>
    <row r="229" spans="1:5" x14ac:dyDescent="0.2">
      <c r="A229">
        <v>228</v>
      </c>
      <c r="B229">
        <v>0</v>
      </c>
      <c r="C229">
        <f t="shared" si="11"/>
        <v>958</v>
      </c>
      <c r="D229">
        <f t="shared" si="12"/>
        <v>319</v>
      </c>
      <c r="E229" s="7">
        <f t="shared" si="13"/>
        <v>48.794792164357375</v>
      </c>
    </row>
    <row r="230" spans="1:5" x14ac:dyDescent="0.2">
      <c r="A230">
        <v>229</v>
      </c>
      <c r="B230">
        <v>0</v>
      </c>
      <c r="C230">
        <f t="shared" si="11"/>
        <v>959</v>
      </c>
      <c r="D230">
        <f t="shared" si="12"/>
        <v>320</v>
      </c>
      <c r="E230" s="7">
        <f t="shared" si="13"/>
        <v>48.94744386048734</v>
      </c>
    </row>
    <row r="231" spans="1:5" x14ac:dyDescent="0.2">
      <c r="A231">
        <v>230</v>
      </c>
      <c r="B231">
        <v>0</v>
      </c>
      <c r="C231">
        <f t="shared" si="11"/>
        <v>960</v>
      </c>
      <c r="D231">
        <f t="shared" si="12"/>
        <v>321</v>
      </c>
      <c r="E231" s="7">
        <f t="shared" si="13"/>
        <v>49.100095556617291</v>
      </c>
    </row>
    <row r="232" spans="1:5" x14ac:dyDescent="0.2">
      <c r="A232">
        <v>231</v>
      </c>
      <c r="B232">
        <v>0</v>
      </c>
      <c r="C232">
        <f t="shared" si="11"/>
        <v>961</v>
      </c>
      <c r="D232">
        <f t="shared" si="12"/>
        <v>322</v>
      </c>
      <c r="E232" s="7">
        <f t="shared" si="13"/>
        <v>49.252747252747255</v>
      </c>
    </row>
    <row r="233" spans="1:5" x14ac:dyDescent="0.2">
      <c r="A233">
        <v>232</v>
      </c>
      <c r="B233">
        <v>0</v>
      </c>
      <c r="C233">
        <f t="shared" si="11"/>
        <v>962</v>
      </c>
      <c r="D233">
        <f t="shared" si="12"/>
        <v>323</v>
      </c>
      <c r="E233" s="7">
        <f t="shared" si="13"/>
        <v>49.405398948877206</v>
      </c>
    </row>
    <row r="234" spans="1:5" x14ac:dyDescent="0.2">
      <c r="A234">
        <v>233</v>
      </c>
      <c r="B234">
        <v>0</v>
      </c>
      <c r="C234">
        <f t="shared" si="11"/>
        <v>963</v>
      </c>
      <c r="D234">
        <f t="shared" si="12"/>
        <v>324</v>
      </c>
      <c r="E234" s="7">
        <f t="shared" si="13"/>
        <v>49.558050645007171</v>
      </c>
    </row>
    <row r="235" spans="1:5" x14ac:dyDescent="0.2">
      <c r="A235">
        <v>234</v>
      </c>
      <c r="B235">
        <v>0</v>
      </c>
      <c r="C235">
        <f t="shared" si="11"/>
        <v>964</v>
      </c>
      <c r="D235">
        <f t="shared" si="12"/>
        <v>325</v>
      </c>
      <c r="E235" s="7">
        <f t="shared" si="13"/>
        <v>49.710702341137122</v>
      </c>
    </row>
    <row r="236" spans="1:5" x14ac:dyDescent="0.2">
      <c r="A236">
        <v>235</v>
      </c>
      <c r="B236">
        <v>0</v>
      </c>
      <c r="C236">
        <f t="shared" si="11"/>
        <v>965</v>
      </c>
      <c r="D236">
        <f t="shared" si="12"/>
        <v>326</v>
      </c>
      <c r="E236" s="7">
        <f t="shared" si="13"/>
        <v>49.863354037267072</v>
      </c>
    </row>
    <row r="237" spans="1:5" x14ac:dyDescent="0.2">
      <c r="A237">
        <v>236</v>
      </c>
      <c r="B237">
        <v>0</v>
      </c>
      <c r="C237">
        <f t="shared" si="11"/>
        <v>966</v>
      </c>
      <c r="D237">
        <f t="shared" si="12"/>
        <v>327</v>
      </c>
      <c r="E237" s="7">
        <f t="shared" si="13"/>
        <v>50.016005733397037</v>
      </c>
    </row>
    <row r="238" spans="1:5" x14ac:dyDescent="0.2">
      <c r="A238">
        <v>237</v>
      </c>
      <c r="B238">
        <v>0</v>
      </c>
      <c r="C238">
        <f t="shared" si="11"/>
        <v>967</v>
      </c>
      <c r="D238">
        <f t="shared" si="12"/>
        <v>328</v>
      </c>
      <c r="E238" s="7">
        <f t="shared" si="13"/>
        <v>50.168657429526988</v>
      </c>
    </row>
    <row r="239" spans="1:5" x14ac:dyDescent="0.2">
      <c r="A239">
        <v>238</v>
      </c>
      <c r="B239">
        <v>0</v>
      </c>
      <c r="C239">
        <f t="shared" si="11"/>
        <v>968</v>
      </c>
      <c r="D239">
        <f t="shared" si="12"/>
        <v>329</v>
      </c>
      <c r="E239" s="7">
        <f t="shared" si="13"/>
        <v>50.321309125656953</v>
      </c>
    </row>
    <row r="240" spans="1:5" x14ac:dyDescent="0.2">
      <c r="A240">
        <v>239</v>
      </c>
      <c r="B240">
        <v>0</v>
      </c>
      <c r="C240">
        <f t="shared" si="11"/>
        <v>969</v>
      </c>
      <c r="D240">
        <f t="shared" si="12"/>
        <v>330</v>
      </c>
      <c r="E240" s="7">
        <f t="shared" si="13"/>
        <v>50.473960821786903</v>
      </c>
    </row>
    <row r="241" spans="1:5" x14ac:dyDescent="0.2">
      <c r="A241">
        <v>240</v>
      </c>
      <c r="B241">
        <v>0</v>
      </c>
      <c r="C241">
        <f t="shared" si="11"/>
        <v>970</v>
      </c>
      <c r="D241">
        <f t="shared" si="12"/>
        <v>331</v>
      </c>
      <c r="E241" s="7">
        <f t="shared" si="13"/>
        <v>50.626612517916868</v>
      </c>
    </row>
    <row r="242" spans="1:5" x14ac:dyDescent="0.2">
      <c r="A242">
        <v>241</v>
      </c>
      <c r="B242">
        <v>0</v>
      </c>
      <c r="C242">
        <f t="shared" si="11"/>
        <v>971</v>
      </c>
      <c r="D242">
        <f t="shared" si="12"/>
        <v>332</v>
      </c>
      <c r="E242" s="7">
        <f t="shared" si="13"/>
        <v>50.779264214046819</v>
      </c>
    </row>
    <row r="243" spans="1:5" x14ac:dyDescent="0.2">
      <c r="A243">
        <v>242</v>
      </c>
      <c r="B243">
        <v>0</v>
      </c>
      <c r="C243">
        <f t="shared" si="11"/>
        <v>972</v>
      </c>
      <c r="D243">
        <f t="shared" si="12"/>
        <v>333</v>
      </c>
      <c r="E243" s="7">
        <f t="shared" si="13"/>
        <v>50.931915910176784</v>
      </c>
    </row>
    <row r="244" spans="1:5" x14ac:dyDescent="0.2">
      <c r="A244">
        <v>243</v>
      </c>
      <c r="B244">
        <v>0</v>
      </c>
      <c r="C244">
        <f t="shared" si="11"/>
        <v>973</v>
      </c>
      <c r="D244">
        <f t="shared" si="12"/>
        <v>334</v>
      </c>
      <c r="E244" s="7">
        <f t="shared" si="13"/>
        <v>51.084567606306734</v>
      </c>
    </row>
    <row r="245" spans="1:5" x14ac:dyDescent="0.2">
      <c r="A245">
        <v>244</v>
      </c>
      <c r="B245">
        <v>0</v>
      </c>
      <c r="C245">
        <f t="shared" si="11"/>
        <v>974</v>
      </c>
      <c r="D245">
        <f t="shared" si="12"/>
        <v>335</v>
      </c>
      <c r="E245" s="7">
        <f t="shared" si="13"/>
        <v>51.237219302436685</v>
      </c>
    </row>
    <row r="246" spans="1:5" x14ac:dyDescent="0.2">
      <c r="A246">
        <v>245</v>
      </c>
      <c r="B246">
        <v>0</v>
      </c>
      <c r="C246">
        <f t="shared" si="11"/>
        <v>975</v>
      </c>
      <c r="D246">
        <f t="shared" si="12"/>
        <v>336</v>
      </c>
      <c r="E246" s="7">
        <f t="shared" si="13"/>
        <v>51.38987099856665</v>
      </c>
    </row>
    <row r="247" spans="1:5" x14ac:dyDescent="0.2">
      <c r="A247">
        <v>246</v>
      </c>
      <c r="B247">
        <v>0</v>
      </c>
      <c r="C247">
        <f t="shared" si="11"/>
        <v>976</v>
      </c>
      <c r="D247">
        <f t="shared" si="12"/>
        <v>337</v>
      </c>
      <c r="E247" s="7">
        <f t="shared" si="13"/>
        <v>51.542522694696601</v>
      </c>
    </row>
    <row r="248" spans="1:5" x14ac:dyDescent="0.2">
      <c r="A248">
        <v>247</v>
      </c>
      <c r="B248">
        <v>0</v>
      </c>
      <c r="C248">
        <f t="shared" si="11"/>
        <v>977</v>
      </c>
      <c r="D248">
        <f t="shared" si="12"/>
        <v>338</v>
      </c>
      <c r="E248" s="7">
        <f t="shared" si="13"/>
        <v>51.695174390826566</v>
      </c>
    </row>
    <row r="249" spans="1:5" x14ac:dyDescent="0.2">
      <c r="A249">
        <v>248</v>
      </c>
      <c r="B249">
        <v>0</v>
      </c>
      <c r="C249">
        <f t="shared" si="11"/>
        <v>978</v>
      </c>
      <c r="D249">
        <f t="shared" si="12"/>
        <v>339</v>
      </c>
      <c r="E249" s="7">
        <f t="shared" si="13"/>
        <v>51.847826086956516</v>
      </c>
    </row>
    <row r="250" spans="1:5" x14ac:dyDescent="0.2">
      <c r="A250">
        <v>249</v>
      </c>
      <c r="B250">
        <v>0</v>
      </c>
      <c r="C250">
        <f t="shared" si="11"/>
        <v>979</v>
      </c>
      <c r="D250">
        <f t="shared" si="12"/>
        <v>340</v>
      </c>
      <c r="E250" s="7">
        <f t="shared" si="13"/>
        <v>52.000477783086481</v>
      </c>
    </row>
    <row r="251" spans="1:5" x14ac:dyDescent="0.2">
      <c r="A251">
        <v>250</v>
      </c>
      <c r="B251">
        <v>0</v>
      </c>
      <c r="C251">
        <f t="shared" si="11"/>
        <v>980</v>
      </c>
      <c r="D251">
        <f t="shared" si="12"/>
        <v>341</v>
      </c>
      <c r="E251" s="7">
        <f t="shared" si="13"/>
        <v>52.153129479216432</v>
      </c>
    </row>
    <row r="252" spans="1:5" x14ac:dyDescent="0.2">
      <c r="A252">
        <v>251</v>
      </c>
      <c r="B252">
        <v>0</v>
      </c>
      <c r="C252">
        <f t="shared" si="11"/>
        <v>981</v>
      </c>
      <c r="D252">
        <f t="shared" si="12"/>
        <v>342</v>
      </c>
      <c r="E252" s="7">
        <f t="shared" si="13"/>
        <v>52.305781175346397</v>
      </c>
    </row>
    <row r="253" spans="1:5" x14ac:dyDescent="0.2">
      <c r="A253">
        <v>252</v>
      </c>
      <c r="B253">
        <v>0</v>
      </c>
      <c r="C253">
        <f t="shared" si="11"/>
        <v>982</v>
      </c>
      <c r="D253">
        <f t="shared" si="12"/>
        <v>343</v>
      </c>
      <c r="E253" s="7">
        <f t="shared" si="13"/>
        <v>52.458432871476347</v>
      </c>
    </row>
    <row r="254" spans="1:5" x14ac:dyDescent="0.2">
      <c r="A254">
        <v>253</v>
      </c>
      <c r="B254">
        <v>0</v>
      </c>
      <c r="C254">
        <f t="shared" si="11"/>
        <v>983</v>
      </c>
      <c r="D254">
        <f t="shared" si="12"/>
        <v>344</v>
      </c>
      <c r="E254" s="7">
        <f t="shared" si="13"/>
        <v>52.611084567606298</v>
      </c>
    </row>
    <row r="255" spans="1:5" x14ac:dyDescent="0.2">
      <c r="A255">
        <v>254</v>
      </c>
      <c r="B255">
        <v>0</v>
      </c>
      <c r="C255">
        <f t="shared" si="11"/>
        <v>984</v>
      </c>
      <c r="D255">
        <f t="shared" si="12"/>
        <v>345</v>
      </c>
      <c r="E255" s="7">
        <f t="shared" si="13"/>
        <v>52.763736263736263</v>
      </c>
    </row>
    <row r="256" spans="1:5" x14ac:dyDescent="0.2">
      <c r="A256">
        <v>255</v>
      </c>
      <c r="B256">
        <v>0</v>
      </c>
      <c r="C256">
        <f t="shared" si="11"/>
        <v>985</v>
      </c>
      <c r="D256">
        <f t="shared" si="12"/>
        <v>346</v>
      </c>
      <c r="E256" s="7">
        <f t="shared" si="13"/>
        <v>52.916387959866213</v>
      </c>
    </row>
    <row r="257" spans="1:5" x14ac:dyDescent="0.2">
      <c r="A257">
        <v>256</v>
      </c>
      <c r="B257">
        <v>0</v>
      </c>
      <c r="C257">
        <f t="shared" si="11"/>
        <v>986</v>
      </c>
      <c r="D257">
        <f t="shared" si="12"/>
        <v>347</v>
      </c>
      <c r="E257" s="7">
        <f t="shared" si="13"/>
        <v>53.069039655996178</v>
      </c>
    </row>
    <row r="258" spans="1:5" x14ac:dyDescent="0.2">
      <c r="A258">
        <v>257</v>
      </c>
      <c r="B258">
        <v>0</v>
      </c>
      <c r="C258">
        <f t="shared" si="11"/>
        <v>987</v>
      </c>
      <c r="D258">
        <f t="shared" si="12"/>
        <v>348</v>
      </c>
      <c r="E258" s="7">
        <f t="shared" si="13"/>
        <v>53.221691352126129</v>
      </c>
    </row>
    <row r="259" spans="1:5" x14ac:dyDescent="0.2">
      <c r="A259">
        <v>258</v>
      </c>
      <c r="B259">
        <v>0</v>
      </c>
      <c r="C259">
        <f t="shared" ref="C259:C322" si="14">A259+730</f>
        <v>988</v>
      </c>
      <c r="D259">
        <f t="shared" ref="D259:D322" si="15">C259-640+1</f>
        <v>349</v>
      </c>
      <c r="E259" s="7">
        <f t="shared" ref="E259:E322" si="16">$I$16*D259+$I$17</f>
        <v>53.374343048256094</v>
      </c>
    </row>
    <row r="260" spans="1:5" x14ac:dyDescent="0.2">
      <c r="A260">
        <v>259</v>
      </c>
      <c r="B260">
        <v>0</v>
      </c>
      <c r="C260">
        <f t="shared" si="14"/>
        <v>989</v>
      </c>
      <c r="D260">
        <f t="shared" si="15"/>
        <v>350</v>
      </c>
      <c r="E260" s="7">
        <f t="shared" si="16"/>
        <v>53.526994744386045</v>
      </c>
    </row>
    <row r="261" spans="1:5" x14ac:dyDescent="0.2">
      <c r="A261">
        <v>260</v>
      </c>
      <c r="B261">
        <v>0</v>
      </c>
      <c r="C261">
        <f t="shared" si="14"/>
        <v>990</v>
      </c>
      <c r="D261">
        <f t="shared" si="15"/>
        <v>351</v>
      </c>
      <c r="E261" s="7">
        <f t="shared" si="16"/>
        <v>53.679646440516009</v>
      </c>
    </row>
    <row r="262" spans="1:5" x14ac:dyDescent="0.2">
      <c r="A262">
        <v>261</v>
      </c>
      <c r="B262">
        <v>0</v>
      </c>
      <c r="C262">
        <f t="shared" si="14"/>
        <v>991</v>
      </c>
      <c r="D262">
        <f t="shared" si="15"/>
        <v>352</v>
      </c>
      <c r="E262" s="7">
        <f t="shared" si="16"/>
        <v>53.83229813664596</v>
      </c>
    </row>
    <row r="263" spans="1:5" x14ac:dyDescent="0.2">
      <c r="A263">
        <v>262</v>
      </c>
      <c r="B263">
        <v>0</v>
      </c>
      <c r="C263">
        <f t="shared" si="14"/>
        <v>992</v>
      </c>
      <c r="D263">
        <f t="shared" si="15"/>
        <v>353</v>
      </c>
      <c r="E263" s="7">
        <f t="shared" si="16"/>
        <v>53.984949832775911</v>
      </c>
    </row>
    <row r="264" spans="1:5" x14ac:dyDescent="0.2">
      <c r="A264">
        <v>263</v>
      </c>
      <c r="B264">
        <v>0</v>
      </c>
      <c r="C264">
        <f t="shared" si="14"/>
        <v>993</v>
      </c>
      <c r="D264">
        <f t="shared" si="15"/>
        <v>354</v>
      </c>
      <c r="E264" s="7">
        <f t="shared" si="16"/>
        <v>54.137601528905876</v>
      </c>
    </row>
    <row r="265" spans="1:5" x14ac:dyDescent="0.2">
      <c r="A265">
        <v>264</v>
      </c>
      <c r="B265">
        <v>0</v>
      </c>
      <c r="C265">
        <f t="shared" si="14"/>
        <v>994</v>
      </c>
      <c r="D265">
        <f t="shared" si="15"/>
        <v>355</v>
      </c>
      <c r="E265" s="7">
        <f t="shared" si="16"/>
        <v>54.290253225035826</v>
      </c>
    </row>
    <row r="266" spans="1:5" x14ac:dyDescent="0.2">
      <c r="A266">
        <v>265</v>
      </c>
      <c r="B266">
        <v>0</v>
      </c>
      <c r="C266">
        <f t="shared" si="14"/>
        <v>995</v>
      </c>
      <c r="D266">
        <f t="shared" si="15"/>
        <v>356</v>
      </c>
      <c r="E266" s="7">
        <f t="shared" si="16"/>
        <v>54.442904921165791</v>
      </c>
    </row>
    <row r="267" spans="1:5" x14ac:dyDescent="0.2">
      <c r="A267">
        <v>266</v>
      </c>
      <c r="B267">
        <v>0</v>
      </c>
      <c r="C267">
        <f t="shared" si="14"/>
        <v>996</v>
      </c>
      <c r="D267">
        <f t="shared" si="15"/>
        <v>357</v>
      </c>
      <c r="E267" s="7">
        <f t="shared" si="16"/>
        <v>54.595556617295742</v>
      </c>
    </row>
    <row r="268" spans="1:5" x14ac:dyDescent="0.2">
      <c r="A268">
        <v>267</v>
      </c>
      <c r="B268">
        <v>0</v>
      </c>
      <c r="C268">
        <f t="shared" si="14"/>
        <v>997</v>
      </c>
      <c r="D268">
        <f t="shared" si="15"/>
        <v>358</v>
      </c>
      <c r="E268" s="7">
        <f t="shared" si="16"/>
        <v>54.748208313425707</v>
      </c>
    </row>
    <row r="269" spans="1:5" x14ac:dyDescent="0.2">
      <c r="A269">
        <v>268</v>
      </c>
      <c r="B269">
        <v>0</v>
      </c>
      <c r="C269">
        <f t="shared" si="14"/>
        <v>998</v>
      </c>
      <c r="D269">
        <f t="shared" si="15"/>
        <v>359</v>
      </c>
      <c r="E269" s="7">
        <f t="shared" si="16"/>
        <v>54.900860009555657</v>
      </c>
    </row>
    <row r="270" spans="1:5" x14ac:dyDescent="0.2">
      <c r="A270">
        <v>269</v>
      </c>
      <c r="B270">
        <v>0</v>
      </c>
      <c r="C270">
        <f t="shared" si="14"/>
        <v>999</v>
      </c>
      <c r="D270">
        <f t="shared" si="15"/>
        <v>360</v>
      </c>
      <c r="E270" s="7">
        <f t="shared" si="16"/>
        <v>55.053511705685622</v>
      </c>
    </row>
    <row r="271" spans="1:5" x14ac:dyDescent="0.2">
      <c r="A271">
        <v>270</v>
      </c>
      <c r="B271">
        <v>0</v>
      </c>
      <c r="C271">
        <f t="shared" si="14"/>
        <v>1000</v>
      </c>
      <c r="D271">
        <f t="shared" si="15"/>
        <v>361</v>
      </c>
      <c r="E271" s="7">
        <f t="shared" si="16"/>
        <v>55.206163401815573</v>
      </c>
    </row>
    <row r="272" spans="1:5" x14ac:dyDescent="0.2">
      <c r="A272">
        <v>271</v>
      </c>
      <c r="B272">
        <v>0</v>
      </c>
      <c r="C272">
        <f t="shared" si="14"/>
        <v>1001</v>
      </c>
      <c r="D272">
        <f t="shared" si="15"/>
        <v>362</v>
      </c>
      <c r="E272" s="7">
        <f t="shared" si="16"/>
        <v>55.358815097945524</v>
      </c>
    </row>
    <row r="273" spans="1:5" x14ac:dyDescent="0.2">
      <c r="A273">
        <v>272</v>
      </c>
      <c r="B273">
        <v>0</v>
      </c>
      <c r="C273">
        <f t="shared" si="14"/>
        <v>1002</v>
      </c>
      <c r="D273">
        <f t="shared" si="15"/>
        <v>363</v>
      </c>
      <c r="E273" s="7">
        <f t="shared" si="16"/>
        <v>55.511466794075488</v>
      </c>
    </row>
    <row r="274" spans="1:5" x14ac:dyDescent="0.2">
      <c r="A274">
        <v>273</v>
      </c>
      <c r="B274">
        <v>0</v>
      </c>
      <c r="C274">
        <f t="shared" si="14"/>
        <v>1003</v>
      </c>
      <c r="D274">
        <f t="shared" si="15"/>
        <v>364</v>
      </c>
      <c r="E274" s="7">
        <f t="shared" si="16"/>
        <v>55.664118490205439</v>
      </c>
    </row>
    <row r="275" spans="1:5" x14ac:dyDescent="0.2">
      <c r="A275">
        <v>274</v>
      </c>
      <c r="B275">
        <v>0</v>
      </c>
      <c r="C275">
        <f t="shared" si="14"/>
        <v>1004</v>
      </c>
      <c r="D275">
        <f t="shared" si="15"/>
        <v>365</v>
      </c>
      <c r="E275" s="7">
        <f t="shared" si="16"/>
        <v>55.816770186335404</v>
      </c>
    </row>
    <row r="276" spans="1:5" x14ac:dyDescent="0.2">
      <c r="A276">
        <v>275</v>
      </c>
      <c r="B276">
        <v>0</v>
      </c>
      <c r="C276">
        <f t="shared" si="14"/>
        <v>1005</v>
      </c>
      <c r="D276">
        <f t="shared" si="15"/>
        <v>366</v>
      </c>
      <c r="E276" s="7">
        <f t="shared" si="16"/>
        <v>55.969421882465355</v>
      </c>
    </row>
    <row r="277" spans="1:5" x14ac:dyDescent="0.2">
      <c r="A277">
        <v>276</v>
      </c>
      <c r="B277">
        <v>0</v>
      </c>
      <c r="C277">
        <f t="shared" si="14"/>
        <v>1006</v>
      </c>
      <c r="D277">
        <f t="shared" si="15"/>
        <v>367</v>
      </c>
      <c r="E277" s="7">
        <f t="shared" si="16"/>
        <v>56.12207357859532</v>
      </c>
    </row>
    <row r="278" spans="1:5" x14ac:dyDescent="0.2">
      <c r="A278">
        <v>277</v>
      </c>
      <c r="B278">
        <v>0</v>
      </c>
      <c r="C278">
        <f t="shared" si="14"/>
        <v>1007</v>
      </c>
      <c r="D278">
        <f t="shared" si="15"/>
        <v>368</v>
      </c>
      <c r="E278" s="7">
        <f t="shared" si="16"/>
        <v>56.27472527472527</v>
      </c>
    </row>
    <row r="279" spans="1:5" x14ac:dyDescent="0.2">
      <c r="A279">
        <v>278</v>
      </c>
      <c r="B279">
        <v>0</v>
      </c>
      <c r="C279">
        <f t="shared" si="14"/>
        <v>1008</v>
      </c>
      <c r="D279">
        <f t="shared" si="15"/>
        <v>369</v>
      </c>
      <c r="E279" s="7">
        <f t="shared" si="16"/>
        <v>56.427376970855235</v>
      </c>
    </row>
    <row r="280" spans="1:5" x14ac:dyDescent="0.2">
      <c r="A280">
        <v>279</v>
      </c>
      <c r="B280">
        <v>0</v>
      </c>
      <c r="C280">
        <f t="shared" si="14"/>
        <v>1009</v>
      </c>
      <c r="D280">
        <f t="shared" si="15"/>
        <v>370</v>
      </c>
      <c r="E280" s="7">
        <f t="shared" si="16"/>
        <v>56.580028666985186</v>
      </c>
    </row>
    <row r="281" spans="1:5" x14ac:dyDescent="0.2">
      <c r="A281">
        <v>280</v>
      </c>
      <c r="B281">
        <v>0</v>
      </c>
      <c r="C281">
        <f t="shared" si="14"/>
        <v>1010</v>
      </c>
      <c r="D281">
        <f t="shared" si="15"/>
        <v>371</v>
      </c>
      <c r="E281" s="7">
        <f t="shared" si="16"/>
        <v>56.732680363115136</v>
      </c>
    </row>
    <row r="282" spans="1:5" x14ac:dyDescent="0.2">
      <c r="A282">
        <v>281</v>
      </c>
      <c r="B282">
        <v>0</v>
      </c>
      <c r="C282">
        <f t="shared" si="14"/>
        <v>1011</v>
      </c>
      <c r="D282">
        <f t="shared" si="15"/>
        <v>372</v>
      </c>
      <c r="E282" s="7">
        <f t="shared" si="16"/>
        <v>56.885332059245101</v>
      </c>
    </row>
    <row r="283" spans="1:5" x14ac:dyDescent="0.2">
      <c r="A283">
        <v>282</v>
      </c>
      <c r="B283">
        <v>0</v>
      </c>
      <c r="C283">
        <f t="shared" si="14"/>
        <v>1012</v>
      </c>
      <c r="D283">
        <f t="shared" si="15"/>
        <v>373</v>
      </c>
      <c r="E283" s="7">
        <f t="shared" si="16"/>
        <v>57.037983755375052</v>
      </c>
    </row>
    <row r="284" spans="1:5" x14ac:dyDescent="0.2">
      <c r="A284">
        <v>283</v>
      </c>
      <c r="B284">
        <v>0</v>
      </c>
      <c r="C284">
        <f t="shared" si="14"/>
        <v>1013</v>
      </c>
      <c r="D284">
        <f t="shared" si="15"/>
        <v>374</v>
      </c>
      <c r="E284" s="7">
        <f t="shared" si="16"/>
        <v>57.190635451505017</v>
      </c>
    </row>
    <row r="285" spans="1:5" x14ac:dyDescent="0.2">
      <c r="A285">
        <v>284</v>
      </c>
      <c r="B285">
        <v>0</v>
      </c>
      <c r="C285">
        <f t="shared" si="14"/>
        <v>1014</v>
      </c>
      <c r="D285">
        <f t="shared" si="15"/>
        <v>375</v>
      </c>
      <c r="E285" s="7">
        <f t="shared" si="16"/>
        <v>57.343287147634967</v>
      </c>
    </row>
    <row r="286" spans="1:5" x14ac:dyDescent="0.2">
      <c r="A286">
        <v>285</v>
      </c>
      <c r="B286">
        <v>0</v>
      </c>
      <c r="C286">
        <f t="shared" si="14"/>
        <v>1015</v>
      </c>
      <c r="D286">
        <f t="shared" si="15"/>
        <v>376</v>
      </c>
      <c r="E286" s="7">
        <f t="shared" si="16"/>
        <v>57.495938843764932</v>
      </c>
    </row>
    <row r="287" spans="1:5" x14ac:dyDescent="0.2">
      <c r="A287">
        <v>286</v>
      </c>
      <c r="B287">
        <v>0</v>
      </c>
      <c r="C287">
        <f t="shared" si="14"/>
        <v>1016</v>
      </c>
      <c r="D287">
        <f t="shared" si="15"/>
        <v>377</v>
      </c>
      <c r="E287" s="7">
        <f t="shared" si="16"/>
        <v>57.648590539894883</v>
      </c>
    </row>
    <row r="288" spans="1:5" x14ac:dyDescent="0.2">
      <c r="A288">
        <v>287</v>
      </c>
      <c r="B288">
        <v>0</v>
      </c>
      <c r="C288">
        <f t="shared" si="14"/>
        <v>1017</v>
      </c>
      <c r="D288">
        <f t="shared" si="15"/>
        <v>378</v>
      </c>
      <c r="E288" s="7">
        <f t="shared" si="16"/>
        <v>57.801242236024848</v>
      </c>
    </row>
    <row r="289" spans="1:5" x14ac:dyDescent="0.2">
      <c r="A289">
        <v>288</v>
      </c>
      <c r="B289">
        <v>0</v>
      </c>
      <c r="C289">
        <f t="shared" si="14"/>
        <v>1018</v>
      </c>
      <c r="D289">
        <f t="shared" si="15"/>
        <v>379</v>
      </c>
      <c r="E289" s="7">
        <f t="shared" si="16"/>
        <v>57.953893932154799</v>
      </c>
    </row>
    <row r="290" spans="1:5" x14ac:dyDescent="0.2">
      <c r="A290">
        <v>289</v>
      </c>
      <c r="B290">
        <v>0</v>
      </c>
      <c r="C290">
        <f t="shared" si="14"/>
        <v>1019</v>
      </c>
      <c r="D290">
        <f t="shared" si="15"/>
        <v>380</v>
      </c>
      <c r="E290" s="7">
        <f t="shared" si="16"/>
        <v>58.106545628284749</v>
      </c>
    </row>
    <row r="291" spans="1:5" x14ac:dyDescent="0.2">
      <c r="A291">
        <v>290</v>
      </c>
      <c r="B291">
        <v>0</v>
      </c>
      <c r="C291">
        <f t="shared" si="14"/>
        <v>1020</v>
      </c>
      <c r="D291">
        <f t="shared" si="15"/>
        <v>381</v>
      </c>
      <c r="E291" s="7">
        <f t="shared" si="16"/>
        <v>58.259197324414714</v>
      </c>
    </row>
    <row r="292" spans="1:5" x14ac:dyDescent="0.2">
      <c r="A292">
        <v>291</v>
      </c>
      <c r="B292">
        <v>0</v>
      </c>
      <c r="C292">
        <f t="shared" si="14"/>
        <v>1021</v>
      </c>
      <c r="D292">
        <f t="shared" si="15"/>
        <v>382</v>
      </c>
      <c r="E292" s="7">
        <f t="shared" si="16"/>
        <v>58.411849020544665</v>
      </c>
    </row>
    <row r="293" spans="1:5" x14ac:dyDescent="0.2">
      <c r="A293">
        <v>292</v>
      </c>
      <c r="B293">
        <v>0</v>
      </c>
      <c r="C293">
        <f t="shared" si="14"/>
        <v>1022</v>
      </c>
      <c r="D293">
        <f t="shared" si="15"/>
        <v>383</v>
      </c>
      <c r="E293" s="7">
        <f t="shared" si="16"/>
        <v>58.56450071667463</v>
      </c>
    </row>
    <row r="294" spans="1:5" x14ac:dyDescent="0.2">
      <c r="A294">
        <v>293</v>
      </c>
      <c r="B294">
        <v>0</v>
      </c>
      <c r="C294">
        <f t="shared" si="14"/>
        <v>1023</v>
      </c>
      <c r="D294">
        <f t="shared" si="15"/>
        <v>384</v>
      </c>
      <c r="E294" s="7">
        <f t="shared" si="16"/>
        <v>58.71715241280458</v>
      </c>
    </row>
    <row r="295" spans="1:5" x14ac:dyDescent="0.2">
      <c r="A295">
        <v>294</v>
      </c>
      <c r="B295">
        <v>0</v>
      </c>
      <c r="C295">
        <f t="shared" si="14"/>
        <v>1024</v>
      </c>
      <c r="D295">
        <f t="shared" si="15"/>
        <v>385</v>
      </c>
      <c r="E295" s="7">
        <f t="shared" si="16"/>
        <v>58.869804108934545</v>
      </c>
    </row>
    <row r="296" spans="1:5" x14ac:dyDescent="0.2">
      <c r="A296">
        <v>295</v>
      </c>
      <c r="B296">
        <v>0</v>
      </c>
      <c r="C296">
        <f t="shared" si="14"/>
        <v>1025</v>
      </c>
      <c r="D296">
        <f t="shared" si="15"/>
        <v>386</v>
      </c>
      <c r="E296" s="7">
        <f t="shared" si="16"/>
        <v>59.022455805064496</v>
      </c>
    </row>
    <row r="297" spans="1:5" x14ac:dyDescent="0.2">
      <c r="A297">
        <v>296</v>
      </c>
      <c r="B297">
        <v>0</v>
      </c>
      <c r="C297">
        <f t="shared" si="14"/>
        <v>1026</v>
      </c>
      <c r="D297">
        <f t="shared" si="15"/>
        <v>387</v>
      </c>
      <c r="E297" s="7">
        <f t="shared" si="16"/>
        <v>59.175107501194461</v>
      </c>
    </row>
    <row r="298" spans="1:5" x14ac:dyDescent="0.2">
      <c r="A298">
        <v>297</v>
      </c>
      <c r="B298">
        <v>0</v>
      </c>
      <c r="C298">
        <f t="shared" si="14"/>
        <v>1027</v>
      </c>
      <c r="D298">
        <f t="shared" si="15"/>
        <v>388</v>
      </c>
      <c r="E298" s="7">
        <f t="shared" si="16"/>
        <v>59.327759197324411</v>
      </c>
    </row>
    <row r="299" spans="1:5" x14ac:dyDescent="0.2">
      <c r="A299">
        <v>298</v>
      </c>
      <c r="B299">
        <v>0</v>
      </c>
      <c r="C299">
        <f t="shared" si="14"/>
        <v>1028</v>
      </c>
      <c r="D299">
        <f t="shared" si="15"/>
        <v>389</v>
      </c>
      <c r="E299" s="7">
        <f t="shared" si="16"/>
        <v>59.480410893454362</v>
      </c>
    </row>
    <row r="300" spans="1:5" x14ac:dyDescent="0.2">
      <c r="A300">
        <v>299</v>
      </c>
      <c r="B300">
        <v>0</v>
      </c>
      <c r="C300">
        <f t="shared" si="14"/>
        <v>1029</v>
      </c>
      <c r="D300">
        <f t="shared" si="15"/>
        <v>390</v>
      </c>
      <c r="E300" s="7">
        <f t="shared" si="16"/>
        <v>59.633062589584327</v>
      </c>
    </row>
    <row r="301" spans="1:5" x14ac:dyDescent="0.2">
      <c r="A301">
        <v>300</v>
      </c>
      <c r="B301">
        <v>0</v>
      </c>
      <c r="C301">
        <f t="shared" si="14"/>
        <v>1030</v>
      </c>
      <c r="D301">
        <f t="shared" si="15"/>
        <v>391</v>
      </c>
      <c r="E301" s="7">
        <f t="shared" si="16"/>
        <v>59.785714285714278</v>
      </c>
    </row>
    <row r="302" spans="1:5" x14ac:dyDescent="0.2">
      <c r="A302">
        <v>301</v>
      </c>
      <c r="B302">
        <v>0</v>
      </c>
      <c r="C302">
        <f t="shared" si="14"/>
        <v>1031</v>
      </c>
      <c r="D302">
        <f t="shared" si="15"/>
        <v>392</v>
      </c>
      <c r="E302" s="7">
        <f t="shared" si="16"/>
        <v>59.938365981844242</v>
      </c>
    </row>
    <row r="303" spans="1:5" x14ac:dyDescent="0.2">
      <c r="A303">
        <v>302</v>
      </c>
      <c r="B303">
        <v>0</v>
      </c>
      <c r="C303">
        <f t="shared" si="14"/>
        <v>1032</v>
      </c>
      <c r="D303">
        <f t="shared" si="15"/>
        <v>393</v>
      </c>
      <c r="E303" s="7">
        <f t="shared" si="16"/>
        <v>60.091017677974193</v>
      </c>
    </row>
    <row r="304" spans="1:5" x14ac:dyDescent="0.2">
      <c r="A304">
        <v>303</v>
      </c>
      <c r="B304">
        <v>0</v>
      </c>
      <c r="C304">
        <f t="shared" si="14"/>
        <v>1033</v>
      </c>
      <c r="D304">
        <f t="shared" si="15"/>
        <v>394</v>
      </c>
      <c r="E304" s="7">
        <f t="shared" si="16"/>
        <v>60.243669374104158</v>
      </c>
    </row>
    <row r="305" spans="1:5" x14ac:dyDescent="0.2">
      <c r="A305">
        <v>304</v>
      </c>
      <c r="B305">
        <v>0</v>
      </c>
      <c r="C305">
        <f t="shared" si="14"/>
        <v>1034</v>
      </c>
      <c r="D305">
        <f t="shared" si="15"/>
        <v>395</v>
      </c>
      <c r="E305" s="7">
        <f t="shared" si="16"/>
        <v>60.396321070234109</v>
      </c>
    </row>
    <row r="306" spans="1:5" x14ac:dyDescent="0.2">
      <c r="A306">
        <v>305</v>
      </c>
      <c r="B306">
        <v>0</v>
      </c>
      <c r="C306">
        <f t="shared" si="14"/>
        <v>1035</v>
      </c>
      <c r="D306">
        <f t="shared" si="15"/>
        <v>396</v>
      </c>
      <c r="E306" s="7">
        <f t="shared" si="16"/>
        <v>60.548972766364074</v>
      </c>
    </row>
    <row r="307" spans="1:5" x14ac:dyDescent="0.2">
      <c r="A307">
        <v>306</v>
      </c>
      <c r="B307">
        <v>0</v>
      </c>
      <c r="C307">
        <f t="shared" si="14"/>
        <v>1036</v>
      </c>
      <c r="D307">
        <f t="shared" si="15"/>
        <v>397</v>
      </c>
      <c r="E307" s="7">
        <f t="shared" si="16"/>
        <v>60.701624462494024</v>
      </c>
    </row>
    <row r="308" spans="1:5" x14ac:dyDescent="0.2">
      <c r="A308">
        <v>307</v>
      </c>
      <c r="B308">
        <v>0</v>
      </c>
      <c r="C308">
        <f t="shared" si="14"/>
        <v>1037</v>
      </c>
      <c r="D308">
        <f t="shared" si="15"/>
        <v>398</v>
      </c>
      <c r="E308" s="7">
        <f t="shared" si="16"/>
        <v>60.854276158623975</v>
      </c>
    </row>
    <row r="309" spans="1:5" x14ac:dyDescent="0.2">
      <c r="A309">
        <v>308</v>
      </c>
      <c r="B309">
        <v>0</v>
      </c>
      <c r="C309">
        <f t="shared" si="14"/>
        <v>1038</v>
      </c>
      <c r="D309">
        <f t="shared" si="15"/>
        <v>399</v>
      </c>
      <c r="E309" s="7">
        <f t="shared" si="16"/>
        <v>61.00692785475394</v>
      </c>
    </row>
    <row r="310" spans="1:5" x14ac:dyDescent="0.2">
      <c r="A310">
        <v>309</v>
      </c>
      <c r="B310">
        <v>0</v>
      </c>
      <c r="C310">
        <f t="shared" si="14"/>
        <v>1039</v>
      </c>
      <c r="D310">
        <f t="shared" si="15"/>
        <v>400</v>
      </c>
      <c r="E310" s="7">
        <f t="shared" si="16"/>
        <v>61.15957955088389</v>
      </c>
    </row>
    <row r="311" spans="1:5" x14ac:dyDescent="0.2">
      <c r="A311">
        <v>310</v>
      </c>
      <c r="B311">
        <v>0</v>
      </c>
      <c r="C311">
        <f t="shared" si="14"/>
        <v>1040</v>
      </c>
      <c r="D311">
        <f t="shared" si="15"/>
        <v>401</v>
      </c>
      <c r="E311" s="7">
        <f t="shared" si="16"/>
        <v>61.312231247013855</v>
      </c>
    </row>
    <row r="312" spans="1:5" x14ac:dyDescent="0.2">
      <c r="A312">
        <v>311</v>
      </c>
      <c r="B312">
        <v>0</v>
      </c>
      <c r="C312">
        <f t="shared" si="14"/>
        <v>1041</v>
      </c>
      <c r="D312">
        <f t="shared" si="15"/>
        <v>402</v>
      </c>
      <c r="E312" s="7">
        <f t="shared" si="16"/>
        <v>61.464882943143806</v>
      </c>
    </row>
    <row r="313" spans="1:5" x14ac:dyDescent="0.2">
      <c r="A313">
        <v>312</v>
      </c>
      <c r="B313">
        <v>0</v>
      </c>
      <c r="C313">
        <f t="shared" si="14"/>
        <v>1042</v>
      </c>
      <c r="D313">
        <f t="shared" si="15"/>
        <v>403</v>
      </c>
      <c r="E313" s="7">
        <f t="shared" si="16"/>
        <v>61.617534639273771</v>
      </c>
    </row>
    <row r="314" spans="1:5" x14ac:dyDescent="0.2">
      <c r="A314">
        <v>313</v>
      </c>
      <c r="B314">
        <v>0</v>
      </c>
      <c r="C314">
        <f t="shared" si="14"/>
        <v>1043</v>
      </c>
      <c r="D314">
        <f t="shared" si="15"/>
        <v>404</v>
      </c>
      <c r="E314" s="7">
        <f t="shared" si="16"/>
        <v>61.770186335403722</v>
      </c>
    </row>
    <row r="315" spans="1:5" x14ac:dyDescent="0.2">
      <c r="A315">
        <v>314</v>
      </c>
      <c r="B315">
        <v>0</v>
      </c>
      <c r="C315">
        <f t="shared" si="14"/>
        <v>1044</v>
      </c>
      <c r="D315">
        <f t="shared" si="15"/>
        <v>405</v>
      </c>
      <c r="E315" s="7">
        <f t="shared" si="16"/>
        <v>61.922838031533686</v>
      </c>
    </row>
    <row r="316" spans="1:5" x14ac:dyDescent="0.2">
      <c r="A316">
        <v>315</v>
      </c>
      <c r="B316">
        <v>0</v>
      </c>
      <c r="C316">
        <f t="shared" si="14"/>
        <v>1045</v>
      </c>
      <c r="D316">
        <f t="shared" si="15"/>
        <v>406</v>
      </c>
      <c r="E316" s="7">
        <f t="shared" si="16"/>
        <v>62.075489727663637</v>
      </c>
    </row>
    <row r="317" spans="1:5" x14ac:dyDescent="0.2">
      <c r="A317">
        <v>316</v>
      </c>
      <c r="B317">
        <v>0</v>
      </c>
      <c r="C317">
        <f t="shared" si="14"/>
        <v>1046</v>
      </c>
      <c r="D317">
        <f t="shared" si="15"/>
        <v>407</v>
      </c>
      <c r="E317" s="7">
        <f t="shared" si="16"/>
        <v>62.228141423793588</v>
      </c>
    </row>
    <row r="318" spans="1:5" x14ac:dyDescent="0.2">
      <c r="A318">
        <v>317</v>
      </c>
      <c r="B318">
        <v>0</v>
      </c>
      <c r="C318">
        <f t="shared" si="14"/>
        <v>1047</v>
      </c>
      <c r="D318">
        <f t="shared" si="15"/>
        <v>408</v>
      </c>
      <c r="E318" s="7">
        <f t="shared" si="16"/>
        <v>62.380793119923553</v>
      </c>
    </row>
    <row r="319" spans="1:5" x14ac:dyDescent="0.2">
      <c r="A319">
        <v>318</v>
      </c>
      <c r="B319">
        <v>0</v>
      </c>
      <c r="C319">
        <f t="shared" si="14"/>
        <v>1048</v>
      </c>
      <c r="D319">
        <f t="shared" si="15"/>
        <v>409</v>
      </c>
      <c r="E319" s="7">
        <f t="shared" si="16"/>
        <v>62.533444816053503</v>
      </c>
    </row>
    <row r="320" spans="1:5" x14ac:dyDescent="0.2">
      <c r="A320">
        <v>319</v>
      </c>
      <c r="B320">
        <v>0</v>
      </c>
      <c r="C320">
        <f t="shared" si="14"/>
        <v>1049</v>
      </c>
      <c r="D320">
        <f t="shared" si="15"/>
        <v>410</v>
      </c>
      <c r="E320" s="7">
        <f t="shared" si="16"/>
        <v>62.686096512183468</v>
      </c>
    </row>
    <row r="321" spans="1:5" x14ac:dyDescent="0.2">
      <c r="A321">
        <v>320</v>
      </c>
      <c r="B321">
        <v>0</v>
      </c>
      <c r="C321">
        <f t="shared" si="14"/>
        <v>1050</v>
      </c>
      <c r="D321">
        <f t="shared" si="15"/>
        <v>411</v>
      </c>
      <c r="E321" s="7">
        <f t="shared" si="16"/>
        <v>62.838748208313419</v>
      </c>
    </row>
    <row r="322" spans="1:5" x14ac:dyDescent="0.2">
      <c r="A322">
        <v>321</v>
      </c>
      <c r="B322">
        <v>0</v>
      </c>
      <c r="C322">
        <f t="shared" si="14"/>
        <v>1051</v>
      </c>
      <c r="D322">
        <f t="shared" si="15"/>
        <v>412</v>
      </c>
      <c r="E322" s="7">
        <f t="shared" si="16"/>
        <v>62.991399904443384</v>
      </c>
    </row>
    <row r="323" spans="1:5" x14ac:dyDescent="0.2">
      <c r="A323">
        <v>322</v>
      </c>
      <c r="B323">
        <v>0</v>
      </c>
      <c r="C323">
        <f t="shared" ref="C323:C366" si="17">A323+730</f>
        <v>1052</v>
      </c>
      <c r="D323">
        <f t="shared" ref="D323:D366" si="18">C323-640+1</f>
        <v>413</v>
      </c>
      <c r="E323" s="7">
        <f t="shared" ref="E323:E386" si="19">$I$16*D323+$I$17</f>
        <v>63.144051600573334</v>
      </c>
    </row>
    <row r="324" spans="1:5" x14ac:dyDescent="0.2">
      <c r="A324">
        <v>323</v>
      </c>
      <c r="B324">
        <v>0</v>
      </c>
      <c r="C324">
        <f t="shared" si="17"/>
        <v>1053</v>
      </c>
      <c r="D324">
        <f t="shared" si="18"/>
        <v>414</v>
      </c>
      <c r="E324" s="7">
        <f t="shared" si="19"/>
        <v>63.296703296703299</v>
      </c>
    </row>
    <row r="325" spans="1:5" x14ac:dyDescent="0.2">
      <c r="A325">
        <v>324</v>
      </c>
      <c r="B325">
        <v>0</v>
      </c>
      <c r="C325">
        <f t="shared" si="17"/>
        <v>1054</v>
      </c>
      <c r="D325">
        <f t="shared" si="18"/>
        <v>415</v>
      </c>
      <c r="E325" s="7">
        <f t="shared" si="19"/>
        <v>63.44935499283325</v>
      </c>
    </row>
    <row r="326" spans="1:5" x14ac:dyDescent="0.2">
      <c r="A326">
        <v>325</v>
      </c>
      <c r="B326">
        <v>0</v>
      </c>
      <c r="C326">
        <f t="shared" si="17"/>
        <v>1055</v>
      </c>
      <c r="D326">
        <f t="shared" si="18"/>
        <v>416</v>
      </c>
      <c r="E326" s="7">
        <f t="shared" si="19"/>
        <v>63.602006688963201</v>
      </c>
    </row>
    <row r="327" spans="1:5" x14ac:dyDescent="0.2">
      <c r="A327">
        <v>326</v>
      </c>
      <c r="B327">
        <v>0</v>
      </c>
      <c r="C327">
        <f t="shared" si="17"/>
        <v>1056</v>
      </c>
      <c r="D327">
        <f t="shared" si="18"/>
        <v>417</v>
      </c>
      <c r="E327" s="7">
        <f t="shared" si="19"/>
        <v>63.754658385093165</v>
      </c>
    </row>
    <row r="328" spans="1:5" x14ac:dyDescent="0.2">
      <c r="A328">
        <v>327</v>
      </c>
      <c r="B328">
        <v>0</v>
      </c>
      <c r="C328">
        <f t="shared" si="17"/>
        <v>1057</v>
      </c>
      <c r="D328">
        <f t="shared" si="18"/>
        <v>418</v>
      </c>
      <c r="E328" s="7">
        <f t="shared" si="19"/>
        <v>63.907310081223116</v>
      </c>
    </row>
    <row r="329" spans="1:5" x14ac:dyDescent="0.2">
      <c r="A329">
        <v>328</v>
      </c>
      <c r="B329">
        <v>0</v>
      </c>
      <c r="C329">
        <f t="shared" si="17"/>
        <v>1058</v>
      </c>
      <c r="D329">
        <f t="shared" si="18"/>
        <v>419</v>
      </c>
      <c r="E329" s="7">
        <f t="shared" si="19"/>
        <v>64.059961777353081</v>
      </c>
    </row>
    <row r="330" spans="1:5" x14ac:dyDescent="0.2">
      <c r="A330">
        <v>329</v>
      </c>
      <c r="B330">
        <v>0</v>
      </c>
      <c r="C330">
        <f t="shared" si="17"/>
        <v>1059</v>
      </c>
      <c r="D330">
        <f t="shared" si="18"/>
        <v>420</v>
      </c>
      <c r="E330" s="7">
        <f t="shared" si="19"/>
        <v>64.212613473483032</v>
      </c>
    </row>
    <row r="331" spans="1:5" x14ac:dyDescent="0.2">
      <c r="A331">
        <v>330</v>
      </c>
      <c r="B331">
        <v>0</v>
      </c>
      <c r="C331">
        <f t="shared" si="17"/>
        <v>1060</v>
      </c>
      <c r="D331">
        <f t="shared" si="18"/>
        <v>421</v>
      </c>
      <c r="E331" s="7">
        <f t="shared" si="19"/>
        <v>64.365265169612982</v>
      </c>
    </row>
    <row r="332" spans="1:5" x14ac:dyDescent="0.2">
      <c r="A332">
        <v>331</v>
      </c>
      <c r="B332">
        <v>0</v>
      </c>
      <c r="C332">
        <f t="shared" si="17"/>
        <v>1061</v>
      </c>
      <c r="D332">
        <f t="shared" si="18"/>
        <v>422</v>
      </c>
      <c r="E332" s="7">
        <f t="shared" si="19"/>
        <v>64.517916865742947</v>
      </c>
    </row>
    <row r="333" spans="1:5" x14ac:dyDescent="0.2">
      <c r="A333">
        <v>332</v>
      </c>
      <c r="B333">
        <v>0</v>
      </c>
      <c r="C333">
        <f t="shared" si="17"/>
        <v>1062</v>
      </c>
      <c r="D333">
        <f t="shared" si="18"/>
        <v>423</v>
      </c>
      <c r="E333" s="7">
        <f t="shared" si="19"/>
        <v>64.670568561872898</v>
      </c>
    </row>
    <row r="334" spans="1:5" x14ac:dyDescent="0.2">
      <c r="A334">
        <v>333</v>
      </c>
      <c r="B334">
        <v>0</v>
      </c>
      <c r="C334">
        <f t="shared" si="17"/>
        <v>1063</v>
      </c>
      <c r="D334">
        <f t="shared" si="18"/>
        <v>424</v>
      </c>
      <c r="E334" s="7">
        <f t="shared" si="19"/>
        <v>64.823220258002863</v>
      </c>
    </row>
    <row r="335" spans="1:5" x14ac:dyDescent="0.2">
      <c r="A335">
        <v>334</v>
      </c>
      <c r="B335">
        <v>0</v>
      </c>
      <c r="C335">
        <f t="shared" si="17"/>
        <v>1064</v>
      </c>
      <c r="D335">
        <f t="shared" si="18"/>
        <v>425</v>
      </c>
      <c r="E335" s="7">
        <f t="shared" si="19"/>
        <v>64.975871954132813</v>
      </c>
    </row>
    <row r="336" spans="1:5" x14ac:dyDescent="0.2">
      <c r="A336">
        <v>335</v>
      </c>
      <c r="B336">
        <v>0</v>
      </c>
      <c r="C336">
        <f t="shared" si="17"/>
        <v>1065</v>
      </c>
      <c r="D336">
        <f t="shared" si="18"/>
        <v>426</v>
      </c>
      <c r="E336" s="7">
        <f t="shared" si="19"/>
        <v>65.128523650262778</v>
      </c>
    </row>
    <row r="337" spans="1:5" x14ac:dyDescent="0.2">
      <c r="A337">
        <v>336</v>
      </c>
      <c r="B337">
        <v>0</v>
      </c>
      <c r="C337">
        <f t="shared" si="17"/>
        <v>1066</v>
      </c>
      <c r="D337">
        <f t="shared" si="18"/>
        <v>427</v>
      </c>
      <c r="E337" s="7">
        <f t="shared" si="19"/>
        <v>65.281175346392729</v>
      </c>
    </row>
    <row r="338" spans="1:5" x14ac:dyDescent="0.2">
      <c r="A338">
        <v>337</v>
      </c>
      <c r="B338">
        <v>0</v>
      </c>
      <c r="C338">
        <f t="shared" si="17"/>
        <v>1067</v>
      </c>
      <c r="D338">
        <f t="shared" si="18"/>
        <v>428</v>
      </c>
      <c r="E338" s="7">
        <f t="shared" si="19"/>
        <v>65.433827042522694</v>
      </c>
    </row>
    <row r="339" spans="1:5" x14ac:dyDescent="0.2">
      <c r="A339">
        <v>338</v>
      </c>
      <c r="B339">
        <v>0</v>
      </c>
      <c r="C339">
        <f t="shared" si="17"/>
        <v>1068</v>
      </c>
      <c r="D339">
        <f t="shared" si="18"/>
        <v>429</v>
      </c>
      <c r="E339" s="7">
        <f t="shared" si="19"/>
        <v>65.586478738652644</v>
      </c>
    </row>
    <row r="340" spans="1:5" x14ac:dyDescent="0.2">
      <c r="A340">
        <v>339</v>
      </c>
      <c r="B340">
        <v>0</v>
      </c>
      <c r="C340">
        <f t="shared" si="17"/>
        <v>1069</v>
      </c>
      <c r="D340">
        <f t="shared" si="18"/>
        <v>430</v>
      </c>
      <c r="E340" s="7">
        <f t="shared" si="19"/>
        <v>65.739130434782595</v>
      </c>
    </row>
    <row r="341" spans="1:5" x14ac:dyDescent="0.2">
      <c r="A341">
        <v>340</v>
      </c>
      <c r="B341">
        <v>0</v>
      </c>
      <c r="C341">
        <f t="shared" si="17"/>
        <v>1070</v>
      </c>
      <c r="D341">
        <f t="shared" si="18"/>
        <v>431</v>
      </c>
      <c r="E341" s="7">
        <f t="shared" si="19"/>
        <v>65.89178213091256</v>
      </c>
    </row>
    <row r="342" spans="1:5" x14ac:dyDescent="0.2">
      <c r="A342">
        <v>341</v>
      </c>
      <c r="B342">
        <v>0</v>
      </c>
      <c r="C342">
        <f t="shared" si="17"/>
        <v>1071</v>
      </c>
      <c r="D342">
        <f t="shared" si="18"/>
        <v>432</v>
      </c>
      <c r="E342" s="7">
        <f t="shared" si="19"/>
        <v>66.044433827042511</v>
      </c>
    </row>
    <row r="343" spans="1:5" x14ac:dyDescent="0.2">
      <c r="A343">
        <v>342</v>
      </c>
      <c r="B343">
        <v>0</v>
      </c>
      <c r="C343">
        <f t="shared" si="17"/>
        <v>1072</v>
      </c>
      <c r="D343">
        <f t="shared" si="18"/>
        <v>433</v>
      </c>
      <c r="E343" s="7">
        <f t="shared" si="19"/>
        <v>66.197085523172476</v>
      </c>
    </row>
    <row r="344" spans="1:5" x14ac:dyDescent="0.2">
      <c r="A344">
        <v>343</v>
      </c>
      <c r="B344">
        <v>0</v>
      </c>
      <c r="C344">
        <f t="shared" si="17"/>
        <v>1073</v>
      </c>
      <c r="D344">
        <f t="shared" si="18"/>
        <v>434</v>
      </c>
      <c r="E344" s="7">
        <f t="shared" si="19"/>
        <v>66.349737219302426</v>
      </c>
    </row>
    <row r="345" spans="1:5" x14ac:dyDescent="0.2">
      <c r="A345">
        <v>344</v>
      </c>
      <c r="B345">
        <v>0</v>
      </c>
      <c r="C345">
        <f t="shared" si="17"/>
        <v>1074</v>
      </c>
      <c r="D345">
        <f t="shared" si="18"/>
        <v>435</v>
      </c>
      <c r="E345" s="7">
        <f t="shared" si="19"/>
        <v>66.502388915432391</v>
      </c>
    </row>
    <row r="346" spans="1:5" x14ac:dyDescent="0.2">
      <c r="A346">
        <v>345</v>
      </c>
      <c r="B346">
        <v>0</v>
      </c>
      <c r="C346">
        <f t="shared" si="17"/>
        <v>1075</v>
      </c>
      <c r="D346">
        <f t="shared" si="18"/>
        <v>436</v>
      </c>
      <c r="E346" s="7">
        <f t="shared" si="19"/>
        <v>66.655040611562342</v>
      </c>
    </row>
    <row r="347" spans="1:5" x14ac:dyDescent="0.2">
      <c r="A347">
        <v>346</v>
      </c>
      <c r="B347">
        <v>0</v>
      </c>
      <c r="C347">
        <f t="shared" si="17"/>
        <v>1076</v>
      </c>
      <c r="D347">
        <f t="shared" si="18"/>
        <v>437</v>
      </c>
      <c r="E347" s="7">
        <f t="shared" si="19"/>
        <v>66.807692307692307</v>
      </c>
    </row>
    <row r="348" spans="1:5" x14ac:dyDescent="0.2">
      <c r="A348">
        <v>347</v>
      </c>
      <c r="B348">
        <v>0</v>
      </c>
      <c r="C348">
        <f t="shared" si="17"/>
        <v>1077</v>
      </c>
      <c r="D348">
        <f t="shared" si="18"/>
        <v>438</v>
      </c>
      <c r="E348" s="7">
        <f t="shared" si="19"/>
        <v>66.960344003822257</v>
      </c>
    </row>
    <row r="349" spans="1:5" x14ac:dyDescent="0.2">
      <c r="A349">
        <v>348</v>
      </c>
      <c r="B349">
        <v>0</v>
      </c>
      <c r="C349">
        <f t="shared" si="17"/>
        <v>1078</v>
      </c>
      <c r="D349">
        <f t="shared" si="18"/>
        <v>439</v>
      </c>
      <c r="E349" s="7">
        <f t="shared" si="19"/>
        <v>67.112995699952208</v>
      </c>
    </row>
    <row r="350" spans="1:5" x14ac:dyDescent="0.2">
      <c r="A350">
        <v>349</v>
      </c>
      <c r="B350">
        <v>0</v>
      </c>
      <c r="C350">
        <f t="shared" si="17"/>
        <v>1079</v>
      </c>
      <c r="D350">
        <f t="shared" si="18"/>
        <v>440</v>
      </c>
      <c r="E350" s="7">
        <f t="shared" si="19"/>
        <v>67.265647396082173</v>
      </c>
    </row>
    <row r="351" spans="1:5" x14ac:dyDescent="0.2">
      <c r="A351">
        <v>350</v>
      </c>
      <c r="B351">
        <v>0</v>
      </c>
      <c r="C351">
        <f t="shared" si="17"/>
        <v>1080</v>
      </c>
      <c r="D351">
        <f t="shared" si="18"/>
        <v>441</v>
      </c>
      <c r="E351" s="7">
        <f t="shared" si="19"/>
        <v>67.418299092212123</v>
      </c>
    </row>
    <row r="352" spans="1:5" x14ac:dyDescent="0.2">
      <c r="A352">
        <v>351</v>
      </c>
      <c r="B352">
        <v>0</v>
      </c>
      <c r="C352">
        <f t="shared" si="17"/>
        <v>1081</v>
      </c>
      <c r="D352">
        <f t="shared" si="18"/>
        <v>442</v>
      </c>
      <c r="E352" s="7">
        <f t="shared" si="19"/>
        <v>67.570950788342088</v>
      </c>
    </row>
    <row r="353" spans="1:5" x14ac:dyDescent="0.2">
      <c r="A353">
        <v>352</v>
      </c>
      <c r="B353">
        <v>0</v>
      </c>
      <c r="C353">
        <f t="shared" si="17"/>
        <v>1082</v>
      </c>
      <c r="D353">
        <f t="shared" si="18"/>
        <v>443</v>
      </c>
      <c r="E353" s="7">
        <f t="shared" si="19"/>
        <v>67.723602484472039</v>
      </c>
    </row>
    <row r="354" spans="1:5" x14ac:dyDescent="0.2">
      <c r="A354">
        <v>353</v>
      </c>
      <c r="B354">
        <v>0</v>
      </c>
      <c r="C354">
        <f t="shared" si="17"/>
        <v>1083</v>
      </c>
      <c r="D354">
        <f t="shared" si="18"/>
        <v>444</v>
      </c>
      <c r="E354" s="7">
        <f t="shared" si="19"/>
        <v>67.876254180602004</v>
      </c>
    </row>
    <row r="355" spans="1:5" x14ac:dyDescent="0.2">
      <c r="A355">
        <v>354</v>
      </c>
      <c r="B355">
        <v>0</v>
      </c>
      <c r="C355">
        <f t="shared" si="17"/>
        <v>1084</v>
      </c>
      <c r="D355">
        <f t="shared" si="18"/>
        <v>445</v>
      </c>
      <c r="E355" s="7">
        <f t="shared" si="19"/>
        <v>68.028905876731955</v>
      </c>
    </row>
    <row r="356" spans="1:5" x14ac:dyDescent="0.2">
      <c r="A356">
        <v>355</v>
      </c>
      <c r="B356">
        <v>0</v>
      </c>
      <c r="C356">
        <f t="shared" si="17"/>
        <v>1085</v>
      </c>
      <c r="D356">
        <f t="shared" si="18"/>
        <v>446</v>
      </c>
      <c r="E356" s="7">
        <f t="shared" si="19"/>
        <v>68.181557572861919</v>
      </c>
    </row>
    <row r="357" spans="1:5" x14ac:dyDescent="0.2">
      <c r="A357">
        <v>356</v>
      </c>
      <c r="B357">
        <v>0</v>
      </c>
      <c r="C357">
        <f t="shared" si="17"/>
        <v>1086</v>
      </c>
      <c r="D357">
        <f t="shared" si="18"/>
        <v>447</v>
      </c>
      <c r="E357" s="7">
        <f t="shared" si="19"/>
        <v>68.33420926899187</v>
      </c>
    </row>
    <row r="358" spans="1:5" x14ac:dyDescent="0.2">
      <c r="A358">
        <v>357</v>
      </c>
      <c r="B358">
        <v>0</v>
      </c>
      <c r="C358">
        <f t="shared" si="17"/>
        <v>1087</v>
      </c>
      <c r="D358">
        <f t="shared" si="18"/>
        <v>448</v>
      </c>
      <c r="E358" s="7">
        <f t="shared" si="19"/>
        <v>68.486860965121835</v>
      </c>
    </row>
    <row r="359" spans="1:5" x14ac:dyDescent="0.2">
      <c r="A359">
        <v>358</v>
      </c>
      <c r="B359">
        <v>0</v>
      </c>
      <c r="C359">
        <f t="shared" si="17"/>
        <v>1088</v>
      </c>
      <c r="D359">
        <f t="shared" si="18"/>
        <v>449</v>
      </c>
      <c r="E359" s="7">
        <f t="shared" si="19"/>
        <v>68.639512661251786</v>
      </c>
    </row>
    <row r="360" spans="1:5" x14ac:dyDescent="0.2">
      <c r="A360">
        <v>359</v>
      </c>
      <c r="B360">
        <v>0</v>
      </c>
      <c r="C360">
        <f t="shared" si="17"/>
        <v>1089</v>
      </c>
      <c r="D360">
        <f t="shared" si="18"/>
        <v>450</v>
      </c>
      <c r="E360" s="7">
        <f t="shared" si="19"/>
        <v>68.792164357381736</v>
      </c>
    </row>
    <row r="361" spans="1:5" x14ac:dyDescent="0.2">
      <c r="A361">
        <v>360</v>
      </c>
      <c r="B361">
        <v>0</v>
      </c>
      <c r="C361">
        <f t="shared" si="17"/>
        <v>1090</v>
      </c>
      <c r="D361">
        <f t="shared" si="18"/>
        <v>451</v>
      </c>
      <c r="E361" s="7">
        <f t="shared" si="19"/>
        <v>68.944816053511701</v>
      </c>
    </row>
    <row r="362" spans="1:5" x14ac:dyDescent="0.2">
      <c r="A362">
        <v>361</v>
      </c>
      <c r="B362">
        <v>0</v>
      </c>
      <c r="C362">
        <f t="shared" si="17"/>
        <v>1091</v>
      </c>
      <c r="D362">
        <f t="shared" si="18"/>
        <v>452</v>
      </c>
      <c r="E362" s="7">
        <f t="shared" si="19"/>
        <v>69.097467749641652</v>
      </c>
    </row>
    <row r="363" spans="1:5" x14ac:dyDescent="0.2">
      <c r="A363">
        <v>362</v>
      </c>
      <c r="B363">
        <v>0</v>
      </c>
      <c r="C363">
        <f t="shared" si="17"/>
        <v>1092</v>
      </c>
      <c r="D363">
        <f t="shared" si="18"/>
        <v>453</v>
      </c>
      <c r="E363" s="7">
        <f t="shared" si="19"/>
        <v>69.250119445771617</v>
      </c>
    </row>
    <row r="364" spans="1:5" x14ac:dyDescent="0.2">
      <c r="A364">
        <v>363</v>
      </c>
      <c r="B364">
        <v>0</v>
      </c>
      <c r="C364">
        <f t="shared" si="17"/>
        <v>1093</v>
      </c>
      <c r="D364">
        <f t="shared" si="18"/>
        <v>454</v>
      </c>
      <c r="E364" s="7">
        <f t="shared" si="19"/>
        <v>69.402771141901567</v>
      </c>
    </row>
    <row r="365" spans="1:5" x14ac:dyDescent="0.2">
      <c r="A365">
        <v>364</v>
      </c>
      <c r="B365">
        <v>0</v>
      </c>
      <c r="C365">
        <f t="shared" si="17"/>
        <v>1094</v>
      </c>
      <c r="D365">
        <f t="shared" si="18"/>
        <v>455</v>
      </c>
      <c r="E365" s="7">
        <f t="shared" si="19"/>
        <v>69.555422838031532</v>
      </c>
    </row>
    <row r="366" spans="1:5" x14ac:dyDescent="0.2">
      <c r="A366">
        <v>365</v>
      </c>
      <c r="B366">
        <v>0</v>
      </c>
      <c r="C366">
        <f t="shared" si="17"/>
        <v>1095</v>
      </c>
      <c r="D366">
        <f t="shared" si="18"/>
        <v>456</v>
      </c>
      <c r="E366" s="7">
        <f t="shared" si="19"/>
        <v>69.708074534161483</v>
      </c>
    </row>
    <row r="367" spans="1:5" x14ac:dyDescent="0.2">
      <c r="A367">
        <v>366</v>
      </c>
      <c r="B367">
        <v>0</v>
      </c>
      <c r="C367">
        <f t="shared" ref="C367:C430" si="20">A367+730</f>
        <v>1096</v>
      </c>
      <c r="D367">
        <f t="shared" ref="D367:D430" si="21">C367-640+1</f>
        <v>457</v>
      </c>
      <c r="E367" s="7">
        <f t="shared" si="19"/>
        <v>69.860726230291448</v>
      </c>
    </row>
    <row r="368" spans="1:5" x14ac:dyDescent="0.2">
      <c r="A368">
        <v>367</v>
      </c>
      <c r="B368">
        <v>0</v>
      </c>
      <c r="C368">
        <f t="shared" si="20"/>
        <v>1097</v>
      </c>
      <c r="D368">
        <f t="shared" si="21"/>
        <v>458</v>
      </c>
      <c r="E368" s="7">
        <f t="shared" si="19"/>
        <v>70.013377926421398</v>
      </c>
    </row>
    <row r="369" spans="1:5" x14ac:dyDescent="0.2">
      <c r="A369">
        <v>368</v>
      </c>
      <c r="B369">
        <v>0</v>
      </c>
      <c r="C369">
        <f t="shared" si="20"/>
        <v>1098</v>
      </c>
      <c r="D369">
        <f t="shared" si="21"/>
        <v>459</v>
      </c>
      <c r="E369" s="7">
        <f t="shared" si="19"/>
        <v>70.166029622551349</v>
      </c>
    </row>
    <row r="370" spans="1:5" x14ac:dyDescent="0.2">
      <c r="A370">
        <v>369</v>
      </c>
      <c r="B370">
        <v>0</v>
      </c>
      <c r="C370">
        <f t="shared" si="20"/>
        <v>1099</v>
      </c>
      <c r="D370">
        <f t="shared" si="21"/>
        <v>460</v>
      </c>
      <c r="E370" s="7">
        <f t="shared" si="19"/>
        <v>70.318681318681314</v>
      </c>
    </row>
    <row r="371" spans="1:5" x14ac:dyDescent="0.2">
      <c r="A371">
        <v>370</v>
      </c>
      <c r="B371">
        <v>0</v>
      </c>
      <c r="C371">
        <f t="shared" si="20"/>
        <v>1100</v>
      </c>
      <c r="D371">
        <f t="shared" si="21"/>
        <v>461</v>
      </c>
      <c r="E371" s="7">
        <f t="shared" si="19"/>
        <v>70.471333014811265</v>
      </c>
    </row>
    <row r="372" spans="1:5" x14ac:dyDescent="0.2">
      <c r="A372">
        <v>371</v>
      </c>
      <c r="B372">
        <v>0</v>
      </c>
      <c r="C372">
        <f t="shared" si="20"/>
        <v>1101</v>
      </c>
      <c r="D372">
        <f t="shared" si="21"/>
        <v>462</v>
      </c>
      <c r="E372" s="7">
        <f t="shared" si="19"/>
        <v>70.62398471094123</v>
      </c>
    </row>
    <row r="373" spans="1:5" x14ac:dyDescent="0.2">
      <c r="A373">
        <v>372</v>
      </c>
      <c r="B373">
        <v>0</v>
      </c>
      <c r="C373">
        <f t="shared" si="20"/>
        <v>1102</v>
      </c>
      <c r="D373">
        <f t="shared" si="21"/>
        <v>463</v>
      </c>
      <c r="E373" s="7">
        <f t="shared" si="19"/>
        <v>70.77663640707118</v>
      </c>
    </row>
    <row r="374" spans="1:5" x14ac:dyDescent="0.2">
      <c r="A374">
        <v>373</v>
      </c>
      <c r="B374">
        <v>0</v>
      </c>
      <c r="C374">
        <f t="shared" si="20"/>
        <v>1103</v>
      </c>
      <c r="D374">
        <f t="shared" si="21"/>
        <v>464</v>
      </c>
      <c r="E374" s="7">
        <f t="shared" si="19"/>
        <v>70.929288103201145</v>
      </c>
    </row>
    <row r="375" spans="1:5" x14ac:dyDescent="0.2">
      <c r="A375">
        <v>374</v>
      </c>
      <c r="B375">
        <v>0</v>
      </c>
      <c r="C375">
        <f t="shared" si="20"/>
        <v>1104</v>
      </c>
      <c r="D375">
        <f t="shared" si="21"/>
        <v>465</v>
      </c>
      <c r="E375" s="7">
        <f t="shared" si="19"/>
        <v>71.081939799331096</v>
      </c>
    </row>
    <row r="376" spans="1:5" x14ac:dyDescent="0.2">
      <c r="A376">
        <v>375</v>
      </c>
      <c r="B376">
        <v>0</v>
      </c>
      <c r="C376">
        <f t="shared" si="20"/>
        <v>1105</v>
      </c>
      <c r="D376">
        <f t="shared" si="21"/>
        <v>466</v>
      </c>
      <c r="E376" s="7">
        <f t="shared" si="19"/>
        <v>71.234591495461061</v>
      </c>
    </row>
    <row r="377" spans="1:5" x14ac:dyDescent="0.2">
      <c r="A377">
        <v>376</v>
      </c>
      <c r="B377">
        <v>0</v>
      </c>
      <c r="C377">
        <f t="shared" si="20"/>
        <v>1106</v>
      </c>
      <c r="D377">
        <f t="shared" si="21"/>
        <v>467</v>
      </c>
      <c r="E377" s="7">
        <f t="shared" si="19"/>
        <v>71.387243191591011</v>
      </c>
    </row>
    <row r="378" spans="1:5" x14ac:dyDescent="0.2">
      <c r="A378">
        <v>377</v>
      </c>
      <c r="B378">
        <v>0</v>
      </c>
      <c r="C378">
        <f t="shared" si="20"/>
        <v>1107</v>
      </c>
      <c r="D378">
        <f t="shared" si="21"/>
        <v>468</v>
      </c>
      <c r="E378" s="7">
        <f t="shared" si="19"/>
        <v>71.539894887720962</v>
      </c>
    </row>
    <row r="379" spans="1:5" x14ac:dyDescent="0.2">
      <c r="A379">
        <v>378</v>
      </c>
      <c r="B379">
        <v>0</v>
      </c>
      <c r="C379">
        <f t="shared" si="20"/>
        <v>1108</v>
      </c>
      <c r="D379">
        <f t="shared" si="21"/>
        <v>469</v>
      </c>
      <c r="E379" s="7">
        <f t="shared" si="19"/>
        <v>71.692546583850927</v>
      </c>
    </row>
    <row r="380" spans="1:5" x14ac:dyDescent="0.2">
      <c r="A380">
        <v>379</v>
      </c>
      <c r="B380">
        <v>0</v>
      </c>
      <c r="C380">
        <f t="shared" si="20"/>
        <v>1109</v>
      </c>
      <c r="D380">
        <f t="shared" si="21"/>
        <v>470</v>
      </c>
      <c r="E380" s="7">
        <f t="shared" si="19"/>
        <v>71.845198279980877</v>
      </c>
    </row>
    <row r="381" spans="1:5" x14ac:dyDescent="0.2">
      <c r="A381">
        <v>380</v>
      </c>
      <c r="B381">
        <v>0</v>
      </c>
      <c r="C381">
        <f t="shared" si="20"/>
        <v>1110</v>
      </c>
      <c r="D381">
        <f t="shared" si="21"/>
        <v>471</v>
      </c>
      <c r="E381" s="7">
        <f t="shared" si="19"/>
        <v>71.997849976110842</v>
      </c>
    </row>
    <row r="382" spans="1:5" x14ac:dyDescent="0.2">
      <c r="A382">
        <v>381</v>
      </c>
      <c r="B382">
        <v>0</v>
      </c>
      <c r="C382">
        <f t="shared" si="20"/>
        <v>1111</v>
      </c>
      <c r="D382">
        <f t="shared" si="21"/>
        <v>472</v>
      </c>
      <c r="E382" s="7">
        <f t="shared" si="19"/>
        <v>72.150501672240793</v>
      </c>
    </row>
    <row r="383" spans="1:5" x14ac:dyDescent="0.2">
      <c r="A383">
        <v>382</v>
      </c>
      <c r="B383">
        <v>0</v>
      </c>
      <c r="C383">
        <f t="shared" si="20"/>
        <v>1112</v>
      </c>
      <c r="D383">
        <f t="shared" si="21"/>
        <v>473</v>
      </c>
      <c r="E383" s="7">
        <f t="shared" si="19"/>
        <v>72.303153368370758</v>
      </c>
    </row>
    <row r="384" spans="1:5" x14ac:dyDescent="0.2">
      <c r="A384">
        <v>383</v>
      </c>
      <c r="B384">
        <v>0</v>
      </c>
      <c r="C384">
        <f t="shared" si="20"/>
        <v>1113</v>
      </c>
      <c r="D384">
        <f t="shared" si="21"/>
        <v>474</v>
      </c>
      <c r="E384" s="7">
        <f t="shared" si="19"/>
        <v>72.455805064500709</v>
      </c>
    </row>
    <row r="385" spans="1:5" x14ac:dyDescent="0.2">
      <c r="A385">
        <v>384</v>
      </c>
      <c r="B385">
        <v>0</v>
      </c>
      <c r="C385">
        <f t="shared" si="20"/>
        <v>1114</v>
      </c>
      <c r="D385">
        <f t="shared" si="21"/>
        <v>475</v>
      </c>
      <c r="E385" s="7">
        <f t="shared" si="19"/>
        <v>72.608456760630673</v>
      </c>
    </row>
    <row r="386" spans="1:5" x14ac:dyDescent="0.2">
      <c r="A386">
        <v>385</v>
      </c>
      <c r="B386">
        <v>0</v>
      </c>
      <c r="C386">
        <f t="shared" si="20"/>
        <v>1115</v>
      </c>
      <c r="D386">
        <f t="shared" si="21"/>
        <v>476</v>
      </c>
      <c r="E386" s="7">
        <f t="shared" si="19"/>
        <v>72.761108456760624</v>
      </c>
    </row>
    <row r="387" spans="1:5" x14ac:dyDescent="0.2">
      <c r="A387">
        <v>386</v>
      </c>
      <c r="B387">
        <v>0</v>
      </c>
      <c r="C387">
        <f t="shared" si="20"/>
        <v>1116</v>
      </c>
      <c r="D387">
        <f t="shared" si="21"/>
        <v>477</v>
      </c>
      <c r="E387" s="7">
        <f t="shared" ref="E387:E450" si="22">$I$16*D387+$I$17</f>
        <v>72.913760152890575</v>
      </c>
    </row>
    <row r="388" spans="1:5" x14ac:dyDescent="0.2">
      <c r="A388">
        <v>387</v>
      </c>
      <c r="B388">
        <v>0</v>
      </c>
      <c r="C388">
        <f t="shared" si="20"/>
        <v>1117</v>
      </c>
      <c r="D388">
        <f t="shared" si="21"/>
        <v>478</v>
      </c>
      <c r="E388" s="7">
        <f t="shared" si="22"/>
        <v>73.06641184902054</v>
      </c>
    </row>
    <row r="389" spans="1:5" x14ac:dyDescent="0.2">
      <c r="A389">
        <v>388</v>
      </c>
      <c r="B389">
        <v>0</v>
      </c>
      <c r="C389">
        <f t="shared" si="20"/>
        <v>1118</v>
      </c>
      <c r="D389">
        <f t="shared" si="21"/>
        <v>479</v>
      </c>
      <c r="E389" s="7">
        <f t="shared" si="22"/>
        <v>73.21906354515049</v>
      </c>
    </row>
    <row r="390" spans="1:5" x14ac:dyDescent="0.2">
      <c r="A390">
        <v>389</v>
      </c>
      <c r="B390">
        <v>0</v>
      </c>
      <c r="C390">
        <f t="shared" si="20"/>
        <v>1119</v>
      </c>
      <c r="D390">
        <f t="shared" si="21"/>
        <v>480</v>
      </c>
      <c r="E390" s="7">
        <f t="shared" si="22"/>
        <v>73.371715241280455</v>
      </c>
    </row>
    <row r="391" spans="1:5" x14ac:dyDescent="0.2">
      <c r="A391">
        <v>390</v>
      </c>
      <c r="B391">
        <v>0</v>
      </c>
      <c r="C391">
        <f t="shared" si="20"/>
        <v>1120</v>
      </c>
      <c r="D391">
        <f t="shared" si="21"/>
        <v>481</v>
      </c>
      <c r="E391" s="7">
        <f t="shared" si="22"/>
        <v>73.524366937410406</v>
      </c>
    </row>
    <row r="392" spans="1:5" x14ac:dyDescent="0.2">
      <c r="A392">
        <v>391</v>
      </c>
      <c r="B392">
        <v>0</v>
      </c>
      <c r="C392">
        <f t="shared" si="20"/>
        <v>1121</v>
      </c>
      <c r="D392">
        <f t="shared" si="21"/>
        <v>482</v>
      </c>
      <c r="E392" s="7">
        <f t="shared" si="22"/>
        <v>73.677018633540371</v>
      </c>
    </row>
    <row r="393" spans="1:5" x14ac:dyDescent="0.2">
      <c r="A393">
        <v>392</v>
      </c>
      <c r="B393">
        <v>0</v>
      </c>
      <c r="C393">
        <f t="shared" si="20"/>
        <v>1122</v>
      </c>
      <c r="D393">
        <f t="shared" si="21"/>
        <v>483</v>
      </c>
      <c r="E393" s="7">
        <f t="shared" si="22"/>
        <v>73.829670329670321</v>
      </c>
    </row>
    <row r="394" spans="1:5" x14ac:dyDescent="0.2">
      <c r="A394">
        <v>393</v>
      </c>
      <c r="B394">
        <v>0</v>
      </c>
      <c r="C394">
        <f t="shared" si="20"/>
        <v>1123</v>
      </c>
      <c r="D394">
        <f t="shared" si="21"/>
        <v>484</v>
      </c>
      <c r="E394" s="7">
        <f t="shared" si="22"/>
        <v>73.982322025800286</v>
      </c>
    </row>
    <row r="395" spans="1:5" x14ac:dyDescent="0.2">
      <c r="A395">
        <v>394</v>
      </c>
      <c r="B395">
        <v>0</v>
      </c>
      <c r="C395">
        <f t="shared" si="20"/>
        <v>1124</v>
      </c>
      <c r="D395">
        <f t="shared" si="21"/>
        <v>485</v>
      </c>
      <c r="E395" s="7">
        <f t="shared" si="22"/>
        <v>74.134973721930237</v>
      </c>
    </row>
    <row r="396" spans="1:5" x14ac:dyDescent="0.2">
      <c r="A396">
        <v>395</v>
      </c>
      <c r="B396">
        <v>0</v>
      </c>
      <c r="C396">
        <f t="shared" si="20"/>
        <v>1125</v>
      </c>
      <c r="D396">
        <f t="shared" si="21"/>
        <v>486</v>
      </c>
      <c r="E396" s="7">
        <f t="shared" si="22"/>
        <v>74.287625418060188</v>
      </c>
    </row>
    <row r="397" spans="1:5" x14ac:dyDescent="0.2">
      <c r="A397">
        <v>396</v>
      </c>
      <c r="B397">
        <v>0</v>
      </c>
      <c r="C397">
        <f t="shared" si="20"/>
        <v>1126</v>
      </c>
      <c r="D397">
        <f t="shared" si="21"/>
        <v>487</v>
      </c>
      <c r="E397" s="7">
        <f t="shared" si="22"/>
        <v>74.440277114190152</v>
      </c>
    </row>
    <row r="398" spans="1:5" x14ac:dyDescent="0.2">
      <c r="A398">
        <v>397</v>
      </c>
      <c r="B398">
        <v>0</v>
      </c>
      <c r="C398">
        <f t="shared" si="20"/>
        <v>1127</v>
      </c>
      <c r="D398">
        <f t="shared" si="21"/>
        <v>488</v>
      </c>
      <c r="E398" s="7">
        <f t="shared" si="22"/>
        <v>74.592928810320103</v>
      </c>
    </row>
    <row r="399" spans="1:5" x14ac:dyDescent="0.2">
      <c r="A399">
        <v>398</v>
      </c>
      <c r="B399">
        <v>0</v>
      </c>
      <c r="C399">
        <f t="shared" si="20"/>
        <v>1128</v>
      </c>
      <c r="D399">
        <f t="shared" si="21"/>
        <v>489</v>
      </c>
      <c r="E399" s="7">
        <f t="shared" si="22"/>
        <v>74.745580506450068</v>
      </c>
    </row>
    <row r="400" spans="1:5" x14ac:dyDescent="0.2">
      <c r="A400">
        <v>399</v>
      </c>
      <c r="B400">
        <v>0</v>
      </c>
      <c r="C400">
        <f t="shared" si="20"/>
        <v>1129</v>
      </c>
      <c r="D400">
        <f t="shared" si="21"/>
        <v>490</v>
      </c>
      <c r="E400" s="7">
        <f t="shared" si="22"/>
        <v>74.898232202580019</v>
      </c>
    </row>
    <row r="401" spans="1:5" x14ac:dyDescent="0.2">
      <c r="A401">
        <v>400</v>
      </c>
      <c r="B401">
        <v>0</v>
      </c>
      <c r="C401">
        <f t="shared" si="20"/>
        <v>1130</v>
      </c>
      <c r="D401">
        <f t="shared" si="21"/>
        <v>491</v>
      </c>
      <c r="E401" s="7">
        <f t="shared" si="22"/>
        <v>75.050883898709984</v>
      </c>
    </row>
    <row r="402" spans="1:5" x14ac:dyDescent="0.2">
      <c r="A402">
        <v>401</v>
      </c>
      <c r="B402">
        <v>0</v>
      </c>
      <c r="C402">
        <f t="shared" si="20"/>
        <v>1131</v>
      </c>
      <c r="D402">
        <f t="shared" si="21"/>
        <v>492</v>
      </c>
      <c r="E402" s="7">
        <f t="shared" si="22"/>
        <v>75.203535594839934</v>
      </c>
    </row>
    <row r="403" spans="1:5" x14ac:dyDescent="0.2">
      <c r="A403">
        <v>402</v>
      </c>
      <c r="B403">
        <v>0</v>
      </c>
      <c r="C403">
        <f t="shared" si="20"/>
        <v>1132</v>
      </c>
      <c r="D403">
        <f t="shared" si="21"/>
        <v>493</v>
      </c>
      <c r="E403" s="7">
        <f t="shared" si="22"/>
        <v>75.356187290969899</v>
      </c>
    </row>
    <row r="404" spans="1:5" x14ac:dyDescent="0.2">
      <c r="A404">
        <v>403</v>
      </c>
      <c r="B404">
        <v>0</v>
      </c>
      <c r="C404">
        <f t="shared" si="20"/>
        <v>1133</v>
      </c>
      <c r="D404">
        <f t="shared" si="21"/>
        <v>494</v>
      </c>
      <c r="E404" s="7">
        <f t="shared" si="22"/>
        <v>75.50883898709985</v>
      </c>
    </row>
    <row r="405" spans="1:5" x14ac:dyDescent="0.2">
      <c r="A405">
        <v>404</v>
      </c>
      <c r="B405">
        <v>0</v>
      </c>
      <c r="C405">
        <f t="shared" si="20"/>
        <v>1134</v>
      </c>
      <c r="D405">
        <f t="shared" si="21"/>
        <v>495</v>
      </c>
      <c r="E405" s="7">
        <f t="shared" si="22"/>
        <v>75.6614906832298</v>
      </c>
    </row>
    <row r="406" spans="1:5" x14ac:dyDescent="0.2">
      <c r="A406">
        <v>405</v>
      </c>
      <c r="B406">
        <v>0</v>
      </c>
      <c r="C406">
        <f t="shared" si="20"/>
        <v>1135</v>
      </c>
      <c r="D406">
        <f t="shared" si="21"/>
        <v>496</v>
      </c>
      <c r="E406" s="7">
        <f t="shared" si="22"/>
        <v>75.814142379359765</v>
      </c>
    </row>
    <row r="407" spans="1:5" x14ac:dyDescent="0.2">
      <c r="A407">
        <v>406</v>
      </c>
      <c r="B407">
        <v>0</v>
      </c>
      <c r="C407">
        <f t="shared" si="20"/>
        <v>1136</v>
      </c>
      <c r="D407">
        <f t="shared" si="21"/>
        <v>497</v>
      </c>
      <c r="E407" s="7">
        <f t="shared" si="22"/>
        <v>75.966794075489716</v>
      </c>
    </row>
    <row r="408" spans="1:5" x14ac:dyDescent="0.2">
      <c r="A408">
        <v>407</v>
      </c>
      <c r="B408">
        <v>0</v>
      </c>
      <c r="C408">
        <f t="shared" si="20"/>
        <v>1137</v>
      </c>
      <c r="D408">
        <f t="shared" si="21"/>
        <v>498</v>
      </c>
      <c r="E408" s="7">
        <f t="shared" si="22"/>
        <v>76.119445771619681</v>
      </c>
    </row>
    <row r="409" spans="1:5" x14ac:dyDescent="0.2">
      <c r="A409">
        <v>408</v>
      </c>
      <c r="B409">
        <v>0</v>
      </c>
      <c r="C409">
        <f t="shared" si="20"/>
        <v>1138</v>
      </c>
      <c r="D409">
        <f t="shared" si="21"/>
        <v>499</v>
      </c>
      <c r="E409" s="7">
        <f t="shared" si="22"/>
        <v>76.272097467749632</v>
      </c>
    </row>
    <row r="410" spans="1:5" x14ac:dyDescent="0.2">
      <c r="A410">
        <v>409</v>
      </c>
      <c r="B410">
        <v>0</v>
      </c>
      <c r="C410">
        <f t="shared" si="20"/>
        <v>1139</v>
      </c>
      <c r="D410">
        <f t="shared" si="21"/>
        <v>500</v>
      </c>
      <c r="E410" s="7">
        <f t="shared" si="22"/>
        <v>76.424749163879596</v>
      </c>
    </row>
    <row r="411" spans="1:5" x14ac:dyDescent="0.2">
      <c r="A411">
        <v>410</v>
      </c>
      <c r="B411">
        <v>0</v>
      </c>
      <c r="C411">
        <f t="shared" si="20"/>
        <v>1140</v>
      </c>
      <c r="D411">
        <f t="shared" si="21"/>
        <v>501</v>
      </c>
      <c r="E411" s="7">
        <f t="shared" si="22"/>
        <v>76.577400860009547</v>
      </c>
    </row>
    <row r="412" spans="1:5" x14ac:dyDescent="0.2">
      <c r="A412">
        <v>411</v>
      </c>
      <c r="B412">
        <v>0</v>
      </c>
      <c r="C412">
        <f t="shared" si="20"/>
        <v>1141</v>
      </c>
      <c r="D412">
        <f t="shared" si="21"/>
        <v>502</v>
      </c>
      <c r="E412" s="7">
        <f t="shared" si="22"/>
        <v>76.730052556139512</v>
      </c>
    </row>
    <row r="413" spans="1:5" x14ac:dyDescent="0.2">
      <c r="A413">
        <v>412</v>
      </c>
      <c r="B413">
        <v>0</v>
      </c>
      <c r="C413">
        <f t="shared" si="20"/>
        <v>1142</v>
      </c>
      <c r="D413">
        <f t="shared" si="21"/>
        <v>503</v>
      </c>
      <c r="E413" s="7">
        <f t="shared" si="22"/>
        <v>76.882704252269463</v>
      </c>
    </row>
    <row r="414" spans="1:5" x14ac:dyDescent="0.2">
      <c r="A414">
        <v>413</v>
      </c>
      <c r="B414">
        <v>0</v>
      </c>
      <c r="C414">
        <f t="shared" si="20"/>
        <v>1143</v>
      </c>
      <c r="D414">
        <f t="shared" si="21"/>
        <v>504</v>
      </c>
      <c r="E414" s="7">
        <f t="shared" si="22"/>
        <v>77.035355948399413</v>
      </c>
    </row>
    <row r="415" spans="1:5" x14ac:dyDescent="0.2">
      <c r="A415">
        <v>414</v>
      </c>
      <c r="B415">
        <v>0</v>
      </c>
      <c r="C415">
        <f t="shared" si="20"/>
        <v>1144</v>
      </c>
      <c r="D415">
        <f t="shared" si="21"/>
        <v>505</v>
      </c>
      <c r="E415" s="7">
        <f t="shared" si="22"/>
        <v>77.188007644529378</v>
      </c>
    </row>
    <row r="416" spans="1:5" x14ac:dyDescent="0.2">
      <c r="A416">
        <v>415</v>
      </c>
      <c r="B416">
        <v>0</v>
      </c>
      <c r="C416">
        <f t="shared" si="20"/>
        <v>1145</v>
      </c>
      <c r="D416">
        <f t="shared" si="21"/>
        <v>506</v>
      </c>
      <c r="E416" s="7">
        <f t="shared" si="22"/>
        <v>77.340659340659329</v>
      </c>
    </row>
    <row r="417" spans="1:5" x14ac:dyDescent="0.2">
      <c r="A417">
        <v>416</v>
      </c>
      <c r="B417">
        <v>0</v>
      </c>
      <c r="C417">
        <f t="shared" si="20"/>
        <v>1146</v>
      </c>
      <c r="D417">
        <f t="shared" si="21"/>
        <v>507</v>
      </c>
      <c r="E417" s="7">
        <f t="shared" si="22"/>
        <v>77.493311036789294</v>
      </c>
    </row>
    <row r="418" spans="1:5" x14ac:dyDescent="0.2">
      <c r="A418">
        <v>417</v>
      </c>
      <c r="B418">
        <v>0</v>
      </c>
      <c r="C418">
        <f t="shared" si="20"/>
        <v>1147</v>
      </c>
      <c r="D418">
        <f t="shared" si="21"/>
        <v>508</v>
      </c>
      <c r="E418" s="7">
        <f t="shared" si="22"/>
        <v>77.645962732919244</v>
      </c>
    </row>
    <row r="419" spans="1:5" x14ac:dyDescent="0.2">
      <c r="A419">
        <v>418</v>
      </c>
      <c r="B419">
        <v>0</v>
      </c>
      <c r="C419">
        <f t="shared" si="20"/>
        <v>1148</v>
      </c>
      <c r="D419">
        <f t="shared" si="21"/>
        <v>509</v>
      </c>
      <c r="E419" s="7">
        <f t="shared" si="22"/>
        <v>77.798614429049209</v>
      </c>
    </row>
    <row r="420" spans="1:5" x14ac:dyDescent="0.2">
      <c r="A420">
        <v>419</v>
      </c>
      <c r="B420">
        <v>0</v>
      </c>
      <c r="C420">
        <f t="shared" si="20"/>
        <v>1149</v>
      </c>
      <c r="D420">
        <f t="shared" si="21"/>
        <v>510</v>
      </c>
      <c r="E420" s="7">
        <f t="shared" si="22"/>
        <v>77.95126612517916</v>
      </c>
    </row>
    <row r="421" spans="1:5" x14ac:dyDescent="0.2">
      <c r="A421">
        <v>420</v>
      </c>
      <c r="B421">
        <v>0</v>
      </c>
      <c r="C421">
        <f t="shared" si="20"/>
        <v>1150</v>
      </c>
      <c r="D421">
        <f t="shared" si="21"/>
        <v>511</v>
      </c>
      <c r="E421" s="7">
        <f t="shared" si="22"/>
        <v>78.103917821309125</v>
      </c>
    </row>
    <row r="422" spans="1:5" x14ac:dyDescent="0.2">
      <c r="A422">
        <v>421</v>
      </c>
      <c r="B422">
        <v>0</v>
      </c>
      <c r="C422">
        <f t="shared" si="20"/>
        <v>1151</v>
      </c>
      <c r="D422">
        <f t="shared" si="21"/>
        <v>512</v>
      </c>
      <c r="E422" s="7">
        <f t="shared" si="22"/>
        <v>78.256569517439075</v>
      </c>
    </row>
    <row r="423" spans="1:5" x14ac:dyDescent="0.2">
      <c r="A423">
        <v>422</v>
      </c>
      <c r="B423">
        <v>0</v>
      </c>
      <c r="C423">
        <f t="shared" si="20"/>
        <v>1152</v>
      </c>
      <c r="D423">
        <f t="shared" si="21"/>
        <v>513</v>
      </c>
      <c r="E423" s="7">
        <f t="shared" si="22"/>
        <v>78.409221213569026</v>
      </c>
    </row>
    <row r="424" spans="1:5" x14ac:dyDescent="0.2">
      <c r="A424">
        <v>423</v>
      </c>
      <c r="B424">
        <v>0</v>
      </c>
      <c r="C424">
        <f t="shared" si="20"/>
        <v>1153</v>
      </c>
      <c r="D424">
        <f t="shared" si="21"/>
        <v>514</v>
      </c>
      <c r="E424" s="7">
        <f t="shared" si="22"/>
        <v>78.561872909698991</v>
      </c>
    </row>
    <row r="425" spans="1:5" x14ac:dyDescent="0.2">
      <c r="A425">
        <v>424</v>
      </c>
      <c r="B425">
        <v>0</v>
      </c>
      <c r="C425">
        <f t="shared" si="20"/>
        <v>1154</v>
      </c>
      <c r="D425">
        <f t="shared" si="21"/>
        <v>515</v>
      </c>
      <c r="E425" s="7">
        <f t="shared" si="22"/>
        <v>78.714524605828942</v>
      </c>
    </row>
    <row r="426" spans="1:5" x14ac:dyDescent="0.2">
      <c r="A426">
        <v>425</v>
      </c>
      <c r="B426">
        <v>0</v>
      </c>
      <c r="C426">
        <f t="shared" si="20"/>
        <v>1155</v>
      </c>
      <c r="D426">
        <f t="shared" si="21"/>
        <v>516</v>
      </c>
      <c r="E426" s="7">
        <f t="shared" si="22"/>
        <v>78.867176301958906</v>
      </c>
    </row>
    <row r="427" spans="1:5" x14ac:dyDescent="0.2">
      <c r="A427">
        <v>426</v>
      </c>
      <c r="B427">
        <v>0</v>
      </c>
      <c r="C427">
        <f t="shared" si="20"/>
        <v>1156</v>
      </c>
      <c r="D427">
        <f t="shared" si="21"/>
        <v>517</v>
      </c>
      <c r="E427" s="7">
        <f t="shared" si="22"/>
        <v>79.019827998088857</v>
      </c>
    </row>
    <row r="428" spans="1:5" x14ac:dyDescent="0.2">
      <c r="A428">
        <v>427</v>
      </c>
      <c r="B428">
        <v>0</v>
      </c>
      <c r="C428">
        <f t="shared" si="20"/>
        <v>1157</v>
      </c>
      <c r="D428">
        <f t="shared" si="21"/>
        <v>518</v>
      </c>
      <c r="E428" s="7">
        <f t="shared" si="22"/>
        <v>79.172479694218822</v>
      </c>
    </row>
    <row r="429" spans="1:5" x14ac:dyDescent="0.2">
      <c r="A429">
        <v>428</v>
      </c>
      <c r="B429">
        <v>0</v>
      </c>
      <c r="C429">
        <f t="shared" si="20"/>
        <v>1158</v>
      </c>
      <c r="D429">
        <f t="shared" si="21"/>
        <v>519</v>
      </c>
      <c r="E429" s="7">
        <f t="shared" si="22"/>
        <v>79.325131390348773</v>
      </c>
    </row>
    <row r="430" spans="1:5" x14ac:dyDescent="0.2">
      <c r="A430">
        <v>429</v>
      </c>
      <c r="B430">
        <v>0</v>
      </c>
      <c r="C430">
        <f t="shared" si="20"/>
        <v>1159</v>
      </c>
      <c r="D430">
        <f t="shared" si="21"/>
        <v>520</v>
      </c>
      <c r="E430" s="7">
        <f t="shared" si="22"/>
        <v>79.477783086478738</v>
      </c>
    </row>
    <row r="431" spans="1:5" x14ac:dyDescent="0.2">
      <c r="A431">
        <v>430</v>
      </c>
      <c r="B431">
        <v>0</v>
      </c>
      <c r="C431">
        <f t="shared" ref="C431:C494" si="23">A431+730</f>
        <v>1160</v>
      </c>
      <c r="D431">
        <f t="shared" ref="D431:D494" si="24">C431-640+1</f>
        <v>521</v>
      </c>
      <c r="E431" s="7">
        <f t="shared" si="22"/>
        <v>79.630434782608688</v>
      </c>
    </row>
    <row r="432" spans="1:5" x14ac:dyDescent="0.2">
      <c r="A432">
        <v>431</v>
      </c>
      <c r="B432">
        <v>0</v>
      </c>
      <c r="C432">
        <f t="shared" si="23"/>
        <v>1161</v>
      </c>
      <c r="D432">
        <f t="shared" si="24"/>
        <v>522</v>
      </c>
      <c r="E432" s="7">
        <f t="shared" si="22"/>
        <v>79.783086478738639</v>
      </c>
    </row>
    <row r="433" spans="1:5" x14ac:dyDescent="0.2">
      <c r="A433">
        <v>432</v>
      </c>
      <c r="B433">
        <v>0</v>
      </c>
      <c r="C433">
        <f t="shared" si="23"/>
        <v>1162</v>
      </c>
      <c r="D433">
        <f t="shared" si="24"/>
        <v>523</v>
      </c>
      <c r="E433" s="7">
        <f t="shared" si="22"/>
        <v>79.935738174868604</v>
      </c>
    </row>
    <row r="434" spans="1:5" x14ac:dyDescent="0.2">
      <c r="A434">
        <v>433</v>
      </c>
      <c r="B434">
        <v>0</v>
      </c>
      <c r="C434">
        <f t="shared" si="23"/>
        <v>1163</v>
      </c>
      <c r="D434">
        <f t="shared" si="24"/>
        <v>524</v>
      </c>
      <c r="E434" s="7">
        <f t="shared" si="22"/>
        <v>80.088389870998554</v>
      </c>
    </row>
    <row r="435" spans="1:5" x14ac:dyDescent="0.2">
      <c r="A435">
        <v>434</v>
      </c>
      <c r="B435">
        <v>0</v>
      </c>
      <c r="C435">
        <f t="shared" si="23"/>
        <v>1164</v>
      </c>
      <c r="D435">
        <f t="shared" si="24"/>
        <v>525</v>
      </c>
      <c r="E435" s="7">
        <f t="shared" si="22"/>
        <v>80.241041567128519</v>
      </c>
    </row>
    <row r="436" spans="1:5" x14ac:dyDescent="0.2">
      <c r="A436">
        <v>435</v>
      </c>
      <c r="B436">
        <v>0</v>
      </c>
      <c r="C436">
        <f t="shared" si="23"/>
        <v>1165</v>
      </c>
      <c r="D436">
        <f t="shared" si="24"/>
        <v>526</v>
      </c>
      <c r="E436" s="7">
        <f t="shared" si="22"/>
        <v>80.39369326325847</v>
      </c>
    </row>
    <row r="437" spans="1:5" x14ac:dyDescent="0.2">
      <c r="A437">
        <v>436</v>
      </c>
      <c r="B437">
        <v>0</v>
      </c>
      <c r="C437">
        <f t="shared" si="23"/>
        <v>1166</v>
      </c>
      <c r="D437">
        <f t="shared" si="24"/>
        <v>527</v>
      </c>
      <c r="E437" s="7">
        <f t="shared" si="22"/>
        <v>80.546344959388435</v>
      </c>
    </row>
    <row r="438" spans="1:5" x14ac:dyDescent="0.2">
      <c r="A438">
        <v>437</v>
      </c>
      <c r="B438">
        <v>0</v>
      </c>
      <c r="C438">
        <f t="shared" si="23"/>
        <v>1167</v>
      </c>
      <c r="D438">
        <f t="shared" si="24"/>
        <v>528</v>
      </c>
      <c r="E438" s="7">
        <f t="shared" si="22"/>
        <v>80.698996655518386</v>
      </c>
    </row>
    <row r="439" spans="1:5" x14ac:dyDescent="0.2">
      <c r="A439">
        <v>438</v>
      </c>
      <c r="B439">
        <v>0</v>
      </c>
      <c r="C439">
        <f t="shared" si="23"/>
        <v>1168</v>
      </c>
      <c r="D439">
        <f t="shared" si="24"/>
        <v>529</v>
      </c>
      <c r="E439" s="7">
        <f t="shared" si="22"/>
        <v>80.85164835164835</v>
      </c>
    </row>
    <row r="440" spans="1:5" x14ac:dyDescent="0.2">
      <c r="A440">
        <v>439</v>
      </c>
      <c r="B440">
        <v>0</v>
      </c>
      <c r="C440">
        <f t="shared" si="23"/>
        <v>1169</v>
      </c>
      <c r="D440">
        <f t="shared" si="24"/>
        <v>530</v>
      </c>
      <c r="E440" s="7">
        <f t="shared" si="22"/>
        <v>81.004300047778301</v>
      </c>
    </row>
    <row r="441" spans="1:5" x14ac:dyDescent="0.2">
      <c r="A441">
        <v>440</v>
      </c>
      <c r="B441">
        <v>0</v>
      </c>
      <c r="C441">
        <f t="shared" si="23"/>
        <v>1170</v>
      </c>
      <c r="D441">
        <f t="shared" si="24"/>
        <v>531</v>
      </c>
      <c r="E441" s="7">
        <f t="shared" si="22"/>
        <v>81.156951743908252</v>
      </c>
    </row>
    <row r="442" spans="1:5" x14ac:dyDescent="0.2">
      <c r="A442">
        <v>441</v>
      </c>
      <c r="B442">
        <v>0</v>
      </c>
      <c r="C442">
        <f t="shared" si="23"/>
        <v>1171</v>
      </c>
      <c r="D442">
        <f t="shared" si="24"/>
        <v>532</v>
      </c>
      <c r="E442" s="7">
        <f t="shared" si="22"/>
        <v>81.309603440038217</v>
      </c>
    </row>
    <row r="443" spans="1:5" x14ac:dyDescent="0.2">
      <c r="A443">
        <v>442</v>
      </c>
      <c r="B443">
        <v>0</v>
      </c>
      <c r="C443">
        <f t="shared" si="23"/>
        <v>1172</v>
      </c>
      <c r="D443">
        <f t="shared" si="24"/>
        <v>533</v>
      </c>
      <c r="E443" s="7">
        <f t="shared" si="22"/>
        <v>81.462255136168167</v>
      </c>
    </row>
    <row r="444" spans="1:5" x14ac:dyDescent="0.2">
      <c r="A444">
        <v>443</v>
      </c>
      <c r="B444">
        <v>0</v>
      </c>
      <c r="C444">
        <f t="shared" si="23"/>
        <v>1173</v>
      </c>
      <c r="D444">
        <f t="shared" si="24"/>
        <v>534</v>
      </c>
      <c r="E444" s="7">
        <f t="shared" si="22"/>
        <v>81.614906832298132</v>
      </c>
    </row>
    <row r="445" spans="1:5" x14ac:dyDescent="0.2">
      <c r="A445">
        <v>444</v>
      </c>
      <c r="B445">
        <v>0</v>
      </c>
      <c r="C445">
        <f t="shared" si="23"/>
        <v>1174</v>
      </c>
      <c r="D445">
        <f t="shared" si="24"/>
        <v>535</v>
      </c>
      <c r="E445" s="7">
        <f t="shared" si="22"/>
        <v>81.767558528428083</v>
      </c>
    </row>
    <row r="446" spans="1:5" x14ac:dyDescent="0.2">
      <c r="A446">
        <v>445</v>
      </c>
      <c r="B446">
        <v>0</v>
      </c>
      <c r="C446">
        <f t="shared" si="23"/>
        <v>1175</v>
      </c>
      <c r="D446">
        <f t="shared" si="24"/>
        <v>536</v>
      </c>
      <c r="E446" s="7">
        <f t="shared" si="22"/>
        <v>81.920210224558048</v>
      </c>
    </row>
    <row r="447" spans="1:5" x14ac:dyDescent="0.2">
      <c r="A447">
        <v>446</v>
      </c>
      <c r="B447">
        <v>0</v>
      </c>
      <c r="C447">
        <f t="shared" si="23"/>
        <v>1176</v>
      </c>
      <c r="D447">
        <f t="shared" si="24"/>
        <v>537</v>
      </c>
      <c r="E447" s="7">
        <f t="shared" si="22"/>
        <v>82.072861920687998</v>
      </c>
    </row>
    <row r="448" spans="1:5" x14ac:dyDescent="0.2">
      <c r="A448">
        <v>447</v>
      </c>
      <c r="B448">
        <v>0</v>
      </c>
      <c r="C448">
        <f t="shared" si="23"/>
        <v>1177</v>
      </c>
      <c r="D448">
        <f t="shared" si="24"/>
        <v>538</v>
      </c>
      <c r="E448" s="7">
        <f t="shared" si="22"/>
        <v>82.225513616817963</v>
      </c>
    </row>
    <row r="449" spans="1:5" x14ac:dyDescent="0.2">
      <c r="A449">
        <v>448</v>
      </c>
      <c r="B449">
        <v>0</v>
      </c>
      <c r="C449">
        <f t="shared" si="23"/>
        <v>1178</v>
      </c>
      <c r="D449">
        <f t="shared" si="24"/>
        <v>539</v>
      </c>
      <c r="E449" s="7">
        <f t="shared" si="22"/>
        <v>82.378165312947914</v>
      </c>
    </row>
    <row r="450" spans="1:5" x14ac:dyDescent="0.2">
      <c r="A450">
        <v>449</v>
      </c>
      <c r="B450">
        <v>0</v>
      </c>
      <c r="C450">
        <f t="shared" si="23"/>
        <v>1179</v>
      </c>
      <c r="D450">
        <f t="shared" si="24"/>
        <v>540</v>
      </c>
      <c r="E450" s="7">
        <f t="shared" si="22"/>
        <v>82.530817009077865</v>
      </c>
    </row>
    <row r="451" spans="1:5" x14ac:dyDescent="0.2">
      <c r="A451">
        <v>450</v>
      </c>
      <c r="B451">
        <v>0</v>
      </c>
      <c r="C451">
        <f t="shared" si="23"/>
        <v>1180</v>
      </c>
      <c r="D451">
        <f t="shared" si="24"/>
        <v>541</v>
      </c>
      <c r="E451" s="7">
        <f t="shared" ref="E451:E514" si="25">$I$16*D451+$I$17</f>
        <v>82.683468705207829</v>
      </c>
    </row>
    <row r="452" spans="1:5" x14ac:dyDescent="0.2">
      <c r="A452">
        <v>451</v>
      </c>
      <c r="B452">
        <v>0</v>
      </c>
      <c r="C452">
        <f t="shared" si="23"/>
        <v>1181</v>
      </c>
      <c r="D452">
        <f t="shared" si="24"/>
        <v>542</v>
      </c>
      <c r="E452" s="7">
        <f t="shared" si="25"/>
        <v>82.83612040133778</v>
      </c>
    </row>
    <row r="453" spans="1:5" x14ac:dyDescent="0.2">
      <c r="A453">
        <v>452</v>
      </c>
      <c r="B453">
        <v>0</v>
      </c>
      <c r="C453">
        <f t="shared" si="23"/>
        <v>1182</v>
      </c>
      <c r="D453">
        <f t="shared" si="24"/>
        <v>543</v>
      </c>
      <c r="E453" s="7">
        <f t="shared" si="25"/>
        <v>82.988772097467745</v>
      </c>
    </row>
    <row r="454" spans="1:5" x14ac:dyDescent="0.2">
      <c r="A454">
        <v>453</v>
      </c>
      <c r="B454">
        <v>0</v>
      </c>
      <c r="C454">
        <f t="shared" si="23"/>
        <v>1183</v>
      </c>
      <c r="D454">
        <f t="shared" si="24"/>
        <v>544</v>
      </c>
      <c r="E454" s="7">
        <f t="shared" si="25"/>
        <v>83.141423793597696</v>
      </c>
    </row>
    <row r="455" spans="1:5" x14ac:dyDescent="0.2">
      <c r="A455">
        <v>454</v>
      </c>
      <c r="B455">
        <v>0</v>
      </c>
      <c r="C455">
        <f t="shared" si="23"/>
        <v>1184</v>
      </c>
      <c r="D455">
        <f t="shared" si="24"/>
        <v>545</v>
      </c>
      <c r="E455" s="7">
        <f t="shared" si="25"/>
        <v>83.294075489727661</v>
      </c>
    </row>
    <row r="456" spans="1:5" x14ac:dyDescent="0.2">
      <c r="A456">
        <v>455</v>
      </c>
      <c r="B456">
        <v>0</v>
      </c>
      <c r="C456">
        <f t="shared" si="23"/>
        <v>1185</v>
      </c>
      <c r="D456">
        <f t="shared" si="24"/>
        <v>546</v>
      </c>
      <c r="E456" s="7">
        <f t="shared" si="25"/>
        <v>83.446727185857611</v>
      </c>
    </row>
    <row r="457" spans="1:5" x14ac:dyDescent="0.2">
      <c r="A457">
        <v>456</v>
      </c>
      <c r="B457">
        <v>0</v>
      </c>
      <c r="C457">
        <f t="shared" si="23"/>
        <v>1186</v>
      </c>
      <c r="D457">
        <f t="shared" si="24"/>
        <v>547</v>
      </c>
      <c r="E457" s="7">
        <f t="shared" si="25"/>
        <v>83.599378881987576</v>
      </c>
    </row>
    <row r="458" spans="1:5" x14ac:dyDescent="0.2">
      <c r="A458">
        <v>457</v>
      </c>
      <c r="B458">
        <v>0</v>
      </c>
      <c r="C458">
        <f t="shared" si="23"/>
        <v>1187</v>
      </c>
      <c r="D458">
        <f t="shared" si="24"/>
        <v>548</v>
      </c>
      <c r="E458" s="7">
        <f t="shared" si="25"/>
        <v>83.752030578117527</v>
      </c>
    </row>
    <row r="459" spans="1:5" x14ac:dyDescent="0.2">
      <c r="A459">
        <v>458</v>
      </c>
      <c r="B459">
        <v>0</v>
      </c>
      <c r="C459">
        <f t="shared" si="23"/>
        <v>1188</v>
      </c>
      <c r="D459">
        <f t="shared" si="24"/>
        <v>549</v>
      </c>
      <c r="E459" s="7">
        <f t="shared" si="25"/>
        <v>83.904682274247477</v>
      </c>
    </row>
    <row r="460" spans="1:5" x14ac:dyDescent="0.2">
      <c r="A460">
        <v>459</v>
      </c>
      <c r="B460">
        <v>0</v>
      </c>
      <c r="C460">
        <f t="shared" si="23"/>
        <v>1189</v>
      </c>
      <c r="D460">
        <f t="shared" si="24"/>
        <v>550</v>
      </c>
      <c r="E460" s="7">
        <f t="shared" si="25"/>
        <v>84.057333970377442</v>
      </c>
    </row>
    <row r="461" spans="1:5" x14ac:dyDescent="0.2">
      <c r="A461">
        <v>460</v>
      </c>
      <c r="B461">
        <v>0</v>
      </c>
      <c r="C461">
        <f t="shared" si="23"/>
        <v>1190</v>
      </c>
      <c r="D461">
        <f t="shared" si="24"/>
        <v>551</v>
      </c>
      <c r="E461" s="7">
        <f t="shared" si="25"/>
        <v>84.209985666507393</v>
      </c>
    </row>
    <row r="462" spans="1:5" x14ac:dyDescent="0.2">
      <c r="A462">
        <v>461</v>
      </c>
      <c r="B462">
        <v>0</v>
      </c>
      <c r="C462">
        <f t="shared" si="23"/>
        <v>1191</v>
      </c>
      <c r="D462">
        <f t="shared" si="24"/>
        <v>552</v>
      </c>
      <c r="E462" s="7">
        <f t="shared" si="25"/>
        <v>84.362637362637358</v>
      </c>
    </row>
    <row r="463" spans="1:5" x14ac:dyDescent="0.2">
      <c r="A463">
        <v>462</v>
      </c>
      <c r="B463">
        <v>0</v>
      </c>
      <c r="C463">
        <f t="shared" si="23"/>
        <v>1192</v>
      </c>
      <c r="D463">
        <f t="shared" si="24"/>
        <v>553</v>
      </c>
      <c r="E463" s="7">
        <f t="shared" si="25"/>
        <v>84.515289058767308</v>
      </c>
    </row>
    <row r="464" spans="1:5" x14ac:dyDescent="0.2">
      <c r="A464">
        <v>463</v>
      </c>
      <c r="B464">
        <v>0</v>
      </c>
      <c r="C464">
        <f t="shared" si="23"/>
        <v>1193</v>
      </c>
      <c r="D464">
        <f t="shared" si="24"/>
        <v>554</v>
      </c>
      <c r="E464" s="7">
        <f t="shared" si="25"/>
        <v>84.667940754897273</v>
      </c>
    </row>
    <row r="465" spans="1:5" x14ac:dyDescent="0.2">
      <c r="A465">
        <v>464</v>
      </c>
      <c r="B465">
        <v>0</v>
      </c>
      <c r="C465">
        <f t="shared" si="23"/>
        <v>1194</v>
      </c>
      <c r="D465">
        <f t="shared" si="24"/>
        <v>555</v>
      </c>
      <c r="E465" s="7">
        <f t="shared" si="25"/>
        <v>84.820592451027224</v>
      </c>
    </row>
    <row r="466" spans="1:5" x14ac:dyDescent="0.2">
      <c r="A466">
        <v>465</v>
      </c>
      <c r="B466">
        <v>0</v>
      </c>
      <c r="C466">
        <f t="shared" si="23"/>
        <v>1195</v>
      </c>
      <c r="D466">
        <f t="shared" si="24"/>
        <v>556</v>
      </c>
      <c r="E466" s="7">
        <f t="shared" si="25"/>
        <v>84.973244147157189</v>
      </c>
    </row>
    <row r="467" spans="1:5" x14ac:dyDescent="0.2">
      <c r="A467">
        <v>466</v>
      </c>
      <c r="B467">
        <v>0</v>
      </c>
      <c r="C467">
        <f t="shared" si="23"/>
        <v>1196</v>
      </c>
      <c r="D467">
        <f t="shared" si="24"/>
        <v>557</v>
      </c>
      <c r="E467" s="7">
        <f t="shared" si="25"/>
        <v>85.12589584328714</v>
      </c>
    </row>
    <row r="468" spans="1:5" x14ac:dyDescent="0.2">
      <c r="A468">
        <v>467</v>
      </c>
      <c r="B468">
        <v>0</v>
      </c>
      <c r="C468">
        <f t="shared" si="23"/>
        <v>1197</v>
      </c>
      <c r="D468">
        <f t="shared" si="24"/>
        <v>558</v>
      </c>
      <c r="E468" s="7">
        <f t="shared" si="25"/>
        <v>85.27854753941709</v>
      </c>
    </row>
    <row r="469" spans="1:5" x14ac:dyDescent="0.2">
      <c r="A469">
        <v>468</v>
      </c>
      <c r="B469">
        <v>0</v>
      </c>
      <c r="C469">
        <f t="shared" si="23"/>
        <v>1198</v>
      </c>
      <c r="D469">
        <f t="shared" si="24"/>
        <v>559</v>
      </c>
      <c r="E469" s="7">
        <f t="shared" si="25"/>
        <v>85.431199235547055</v>
      </c>
    </row>
    <row r="470" spans="1:5" x14ac:dyDescent="0.2">
      <c r="A470">
        <v>469</v>
      </c>
      <c r="B470">
        <v>0</v>
      </c>
      <c r="C470">
        <f t="shared" si="23"/>
        <v>1199</v>
      </c>
      <c r="D470">
        <f t="shared" si="24"/>
        <v>560</v>
      </c>
      <c r="E470" s="7">
        <f t="shared" si="25"/>
        <v>85.583850931677006</v>
      </c>
    </row>
    <row r="471" spans="1:5" x14ac:dyDescent="0.2">
      <c r="A471">
        <v>470</v>
      </c>
      <c r="B471">
        <v>0</v>
      </c>
      <c r="C471">
        <f t="shared" si="23"/>
        <v>1200</v>
      </c>
      <c r="D471">
        <f t="shared" si="24"/>
        <v>561</v>
      </c>
      <c r="E471" s="7">
        <f t="shared" si="25"/>
        <v>85.736502627806971</v>
      </c>
    </row>
    <row r="472" spans="1:5" x14ac:dyDescent="0.2">
      <c r="A472">
        <v>471</v>
      </c>
      <c r="B472">
        <v>0</v>
      </c>
      <c r="C472">
        <f t="shared" si="23"/>
        <v>1201</v>
      </c>
      <c r="D472">
        <f t="shared" si="24"/>
        <v>562</v>
      </c>
      <c r="E472" s="7">
        <f t="shared" si="25"/>
        <v>85.889154323936921</v>
      </c>
    </row>
    <row r="473" spans="1:5" x14ac:dyDescent="0.2">
      <c r="A473">
        <v>472</v>
      </c>
      <c r="B473">
        <v>0</v>
      </c>
      <c r="C473">
        <f t="shared" si="23"/>
        <v>1202</v>
      </c>
      <c r="D473">
        <f t="shared" si="24"/>
        <v>563</v>
      </c>
      <c r="E473" s="7">
        <f t="shared" si="25"/>
        <v>86.041806020066886</v>
      </c>
    </row>
    <row r="474" spans="1:5" x14ac:dyDescent="0.2">
      <c r="A474">
        <v>473</v>
      </c>
      <c r="B474">
        <v>0</v>
      </c>
      <c r="C474">
        <f t="shared" si="23"/>
        <v>1203</v>
      </c>
      <c r="D474">
        <f t="shared" si="24"/>
        <v>564</v>
      </c>
      <c r="E474" s="7">
        <f t="shared" si="25"/>
        <v>86.194457716196837</v>
      </c>
    </row>
    <row r="475" spans="1:5" x14ac:dyDescent="0.2">
      <c r="A475">
        <v>474</v>
      </c>
      <c r="B475">
        <v>0</v>
      </c>
      <c r="C475">
        <f t="shared" si="23"/>
        <v>1204</v>
      </c>
      <c r="D475">
        <f t="shared" si="24"/>
        <v>565</v>
      </c>
      <c r="E475" s="7">
        <f t="shared" si="25"/>
        <v>86.347109412326802</v>
      </c>
    </row>
    <row r="476" spans="1:5" x14ac:dyDescent="0.2">
      <c r="A476">
        <v>475</v>
      </c>
      <c r="B476">
        <v>0</v>
      </c>
      <c r="C476">
        <f t="shared" si="23"/>
        <v>1205</v>
      </c>
      <c r="D476">
        <f t="shared" si="24"/>
        <v>566</v>
      </c>
      <c r="E476" s="7">
        <f t="shared" si="25"/>
        <v>86.499761108456752</v>
      </c>
    </row>
    <row r="477" spans="1:5" x14ac:dyDescent="0.2">
      <c r="A477">
        <v>476</v>
      </c>
      <c r="B477">
        <v>0</v>
      </c>
      <c r="C477">
        <f t="shared" si="23"/>
        <v>1206</v>
      </c>
      <c r="D477">
        <f t="shared" si="24"/>
        <v>567</v>
      </c>
      <c r="E477" s="7">
        <f t="shared" si="25"/>
        <v>86.652412804586703</v>
      </c>
    </row>
    <row r="478" spans="1:5" x14ac:dyDescent="0.2">
      <c r="A478">
        <v>477</v>
      </c>
      <c r="B478">
        <v>0</v>
      </c>
      <c r="C478">
        <f t="shared" si="23"/>
        <v>1207</v>
      </c>
      <c r="D478">
        <f t="shared" si="24"/>
        <v>568</v>
      </c>
      <c r="E478" s="7">
        <f t="shared" si="25"/>
        <v>86.805064500716668</v>
      </c>
    </row>
    <row r="479" spans="1:5" x14ac:dyDescent="0.2">
      <c r="A479">
        <v>478</v>
      </c>
      <c r="B479">
        <v>0</v>
      </c>
      <c r="C479">
        <f t="shared" si="23"/>
        <v>1208</v>
      </c>
      <c r="D479">
        <f t="shared" si="24"/>
        <v>569</v>
      </c>
      <c r="E479" s="7">
        <f t="shared" si="25"/>
        <v>86.957716196846619</v>
      </c>
    </row>
    <row r="480" spans="1:5" x14ac:dyDescent="0.2">
      <c r="A480">
        <v>479</v>
      </c>
      <c r="B480">
        <v>0</v>
      </c>
      <c r="C480">
        <f t="shared" si="23"/>
        <v>1209</v>
      </c>
      <c r="D480">
        <f t="shared" si="24"/>
        <v>570</v>
      </c>
      <c r="E480" s="7">
        <f t="shared" si="25"/>
        <v>87.110367892976583</v>
      </c>
    </row>
    <row r="481" spans="1:5" x14ac:dyDescent="0.2">
      <c r="A481">
        <v>480</v>
      </c>
      <c r="B481">
        <v>0</v>
      </c>
      <c r="C481">
        <f t="shared" si="23"/>
        <v>1210</v>
      </c>
      <c r="D481">
        <f t="shared" si="24"/>
        <v>571</v>
      </c>
      <c r="E481" s="7">
        <f t="shared" si="25"/>
        <v>87.263019589106534</v>
      </c>
    </row>
    <row r="482" spans="1:5" x14ac:dyDescent="0.2">
      <c r="A482">
        <v>481</v>
      </c>
      <c r="B482">
        <v>0</v>
      </c>
      <c r="C482">
        <f t="shared" si="23"/>
        <v>1211</v>
      </c>
      <c r="D482">
        <f t="shared" si="24"/>
        <v>572</v>
      </c>
      <c r="E482" s="7">
        <f t="shared" si="25"/>
        <v>87.415671285236499</v>
      </c>
    </row>
    <row r="483" spans="1:5" x14ac:dyDescent="0.2">
      <c r="A483">
        <v>482</v>
      </c>
      <c r="B483">
        <v>0</v>
      </c>
      <c r="C483">
        <f t="shared" si="23"/>
        <v>1212</v>
      </c>
      <c r="D483">
        <f t="shared" si="24"/>
        <v>573</v>
      </c>
      <c r="E483" s="7">
        <f t="shared" si="25"/>
        <v>87.56832298136645</v>
      </c>
    </row>
    <row r="484" spans="1:5" x14ac:dyDescent="0.2">
      <c r="A484">
        <v>483</v>
      </c>
      <c r="B484">
        <v>0</v>
      </c>
      <c r="C484">
        <f t="shared" si="23"/>
        <v>1213</v>
      </c>
      <c r="D484">
        <f t="shared" si="24"/>
        <v>574</v>
      </c>
      <c r="E484" s="7">
        <f t="shared" si="25"/>
        <v>87.720974677496415</v>
      </c>
    </row>
    <row r="485" spans="1:5" x14ac:dyDescent="0.2">
      <c r="A485">
        <v>484</v>
      </c>
      <c r="B485">
        <v>0</v>
      </c>
      <c r="C485">
        <f t="shared" si="23"/>
        <v>1214</v>
      </c>
      <c r="D485">
        <f t="shared" si="24"/>
        <v>575</v>
      </c>
      <c r="E485" s="7">
        <f t="shared" si="25"/>
        <v>87.873626373626365</v>
      </c>
    </row>
    <row r="486" spans="1:5" x14ac:dyDescent="0.2">
      <c r="A486">
        <v>485</v>
      </c>
      <c r="B486">
        <v>0</v>
      </c>
      <c r="C486">
        <f t="shared" si="23"/>
        <v>1215</v>
      </c>
      <c r="D486">
        <f t="shared" si="24"/>
        <v>576</v>
      </c>
      <c r="E486" s="7">
        <f t="shared" si="25"/>
        <v>88.026278069756316</v>
      </c>
    </row>
    <row r="487" spans="1:5" x14ac:dyDescent="0.2">
      <c r="A487">
        <v>486</v>
      </c>
      <c r="B487">
        <v>0</v>
      </c>
      <c r="C487">
        <f t="shared" si="23"/>
        <v>1216</v>
      </c>
      <c r="D487">
        <f t="shared" si="24"/>
        <v>577</v>
      </c>
      <c r="E487" s="7">
        <f t="shared" si="25"/>
        <v>88.178929765886281</v>
      </c>
    </row>
    <row r="488" spans="1:5" x14ac:dyDescent="0.2">
      <c r="A488">
        <v>487</v>
      </c>
      <c r="B488">
        <v>0</v>
      </c>
      <c r="C488">
        <f t="shared" si="23"/>
        <v>1217</v>
      </c>
      <c r="D488">
        <f t="shared" si="24"/>
        <v>578</v>
      </c>
      <c r="E488" s="7">
        <f t="shared" si="25"/>
        <v>88.331581462016231</v>
      </c>
    </row>
    <row r="489" spans="1:5" x14ac:dyDescent="0.2">
      <c r="A489">
        <v>488</v>
      </c>
      <c r="B489">
        <v>0</v>
      </c>
      <c r="C489">
        <f t="shared" si="23"/>
        <v>1218</v>
      </c>
      <c r="D489">
        <f t="shared" si="24"/>
        <v>579</v>
      </c>
      <c r="E489" s="7">
        <f t="shared" si="25"/>
        <v>88.484233158146196</v>
      </c>
    </row>
    <row r="490" spans="1:5" x14ac:dyDescent="0.2">
      <c r="A490">
        <v>489</v>
      </c>
      <c r="B490">
        <v>0</v>
      </c>
      <c r="C490">
        <f t="shared" si="23"/>
        <v>1219</v>
      </c>
      <c r="D490">
        <f t="shared" si="24"/>
        <v>580</v>
      </c>
      <c r="E490" s="7">
        <f t="shared" si="25"/>
        <v>88.636884854276147</v>
      </c>
    </row>
    <row r="491" spans="1:5" x14ac:dyDescent="0.2">
      <c r="A491">
        <v>490</v>
      </c>
      <c r="B491">
        <v>0</v>
      </c>
      <c r="C491">
        <f t="shared" si="23"/>
        <v>1220</v>
      </c>
      <c r="D491">
        <f t="shared" si="24"/>
        <v>581</v>
      </c>
      <c r="E491" s="7">
        <f t="shared" si="25"/>
        <v>88.789536550406112</v>
      </c>
    </row>
    <row r="492" spans="1:5" x14ac:dyDescent="0.2">
      <c r="A492">
        <v>491</v>
      </c>
      <c r="B492">
        <v>0</v>
      </c>
      <c r="C492">
        <f t="shared" si="23"/>
        <v>1221</v>
      </c>
      <c r="D492">
        <f t="shared" si="24"/>
        <v>582</v>
      </c>
      <c r="E492" s="7">
        <f t="shared" si="25"/>
        <v>88.942188246536062</v>
      </c>
    </row>
    <row r="493" spans="1:5" x14ac:dyDescent="0.2">
      <c r="A493">
        <v>492</v>
      </c>
      <c r="B493">
        <v>0</v>
      </c>
      <c r="C493">
        <f t="shared" si="23"/>
        <v>1222</v>
      </c>
      <c r="D493">
        <f t="shared" si="24"/>
        <v>583</v>
      </c>
      <c r="E493" s="7">
        <f t="shared" si="25"/>
        <v>89.094839942666027</v>
      </c>
    </row>
    <row r="494" spans="1:5" x14ac:dyDescent="0.2">
      <c r="A494">
        <v>493</v>
      </c>
      <c r="B494">
        <v>0</v>
      </c>
      <c r="C494">
        <f t="shared" si="23"/>
        <v>1223</v>
      </c>
      <c r="D494">
        <f t="shared" si="24"/>
        <v>584</v>
      </c>
      <c r="E494" s="7">
        <f t="shared" si="25"/>
        <v>89.247491638795978</v>
      </c>
    </row>
    <row r="495" spans="1:5" x14ac:dyDescent="0.2">
      <c r="A495">
        <v>494</v>
      </c>
      <c r="B495">
        <v>0</v>
      </c>
      <c r="C495">
        <f t="shared" ref="C495:C558" si="26">A495+730</f>
        <v>1224</v>
      </c>
      <c r="D495">
        <f t="shared" ref="D495:D558" si="27">C495-640+1</f>
        <v>585</v>
      </c>
      <c r="E495" s="7">
        <f t="shared" si="25"/>
        <v>89.400143334925943</v>
      </c>
    </row>
    <row r="496" spans="1:5" x14ac:dyDescent="0.2">
      <c r="A496">
        <v>495</v>
      </c>
      <c r="B496">
        <v>0</v>
      </c>
      <c r="C496">
        <f t="shared" si="26"/>
        <v>1225</v>
      </c>
      <c r="D496">
        <f t="shared" si="27"/>
        <v>586</v>
      </c>
      <c r="E496" s="7">
        <f t="shared" si="25"/>
        <v>89.552795031055894</v>
      </c>
    </row>
    <row r="497" spans="1:5" x14ac:dyDescent="0.2">
      <c r="A497">
        <v>496</v>
      </c>
      <c r="B497">
        <v>0</v>
      </c>
      <c r="C497">
        <f t="shared" si="26"/>
        <v>1226</v>
      </c>
      <c r="D497">
        <f t="shared" si="27"/>
        <v>587</v>
      </c>
      <c r="E497" s="7">
        <f t="shared" si="25"/>
        <v>89.705446727185844</v>
      </c>
    </row>
    <row r="498" spans="1:5" x14ac:dyDescent="0.2">
      <c r="A498">
        <v>497</v>
      </c>
      <c r="B498">
        <v>0</v>
      </c>
      <c r="C498">
        <f t="shared" si="26"/>
        <v>1227</v>
      </c>
      <c r="D498">
        <f t="shared" si="27"/>
        <v>588</v>
      </c>
      <c r="E498" s="7">
        <f t="shared" si="25"/>
        <v>89.858098423315809</v>
      </c>
    </row>
    <row r="499" spans="1:5" x14ac:dyDescent="0.2">
      <c r="A499">
        <v>498</v>
      </c>
      <c r="B499">
        <v>0</v>
      </c>
      <c r="C499">
        <f t="shared" si="26"/>
        <v>1228</v>
      </c>
      <c r="D499">
        <f t="shared" si="27"/>
        <v>589</v>
      </c>
      <c r="E499" s="7">
        <f t="shared" si="25"/>
        <v>90.01075011944576</v>
      </c>
    </row>
    <row r="500" spans="1:5" x14ac:dyDescent="0.2">
      <c r="A500">
        <v>499</v>
      </c>
      <c r="B500">
        <v>0</v>
      </c>
      <c r="C500">
        <f t="shared" si="26"/>
        <v>1229</v>
      </c>
      <c r="D500">
        <f t="shared" si="27"/>
        <v>590</v>
      </c>
      <c r="E500" s="7">
        <f t="shared" si="25"/>
        <v>90.163401815575725</v>
      </c>
    </row>
    <row r="501" spans="1:5" x14ac:dyDescent="0.2">
      <c r="A501">
        <v>500</v>
      </c>
      <c r="B501">
        <v>0</v>
      </c>
      <c r="C501">
        <f t="shared" si="26"/>
        <v>1230</v>
      </c>
      <c r="D501">
        <f t="shared" si="27"/>
        <v>591</v>
      </c>
      <c r="E501" s="7">
        <f t="shared" si="25"/>
        <v>90.316053511705675</v>
      </c>
    </row>
    <row r="502" spans="1:5" x14ac:dyDescent="0.2">
      <c r="A502">
        <v>501</v>
      </c>
      <c r="B502">
        <v>0</v>
      </c>
      <c r="C502">
        <f t="shared" si="26"/>
        <v>1231</v>
      </c>
      <c r="D502">
        <f t="shared" si="27"/>
        <v>592</v>
      </c>
      <c r="E502" s="7">
        <f t="shared" si="25"/>
        <v>90.46870520783564</v>
      </c>
    </row>
    <row r="503" spans="1:5" x14ac:dyDescent="0.2">
      <c r="A503">
        <v>502</v>
      </c>
      <c r="B503">
        <v>0</v>
      </c>
      <c r="C503">
        <f t="shared" si="26"/>
        <v>1232</v>
      </c>
      <c r="D503">
        <f t="shared" si="27"/>
        <v>593</v>
      </c>
      <c r="E503" s="7">
        <f t="shared" si="25"/>
        <v>90.621356903965591</v>
      </c>
    </row>
    <row r="504" spans="1:5" x14ac:dyDescent="0.2">
      <c r="A504">
        <v>503</v>
      </c>
      <c r="B504">
        <v>0</v>
      </c>
      <c r="C504">
        <f t="shared" si="26"/>
        <v>1233</v>
      </c>
      <c r="D504">
        <f t="shared" si="27"/>
        <v>594</v>
      </c>
      <c r="E504" s="7">
        <f t="shared" si="25"/>
        <v>90.774008600095556</v>
      </c>
    </row>
    <row r="505" spans="1:5" x14ac:dyDescent="0.2">
      <c r="A505">
        <v>504</v>
      </c>
      <c r="B505">
        <v>0</v>
      </c>
      <c r="C505">
        <f t="shared" si="26"/>
        <v>1234</v>
      </c>
      <c r="D505">
        <f t="shared" si="27"/>
        <v>595</v>
      </c>
      <c r="E505" s="7">
        <f t="shared" si="25"/>
        <v>90.926660296225506</v>
      </c>
    </row>
    <row r="506" spans="1:5" x14ac:dyDescent="0.2">
      <c r="A506">
        <v>505</v>
      </c>
      <c r="B506">
        <v>0</v>
      </c>
      <c r="C506">
        <f t="shared" si="26"/>
        <v>1235</v>
      </c>
      <c r="D506">
        <f t="shared" si="27"/>
        <v>596</v>
      </c>
      <c r="E506" s="7">
        <f t="shared" si="25"/>
        <v>91.079311992355457</v>
      </c>
    </row>
    <row r="507" spans="1:5" x14ac:dyDescent="0.2">
      <c r="A507">
        <v>506</v>
      </c>
      <c r="B507">
        <v>0</v>
      </c>
      <c r="C507">
        <f t="shared" si="26"/>
        <v>1236</v>
      </c>
      <c r="D507">
        <f t="shared" si="27"/>
        <v>597</v>
      </c>
      <c r="E507" s="7">
        <f t="shared" si="25"/>
        <v>91.231963688485422</v>
      </c>
    </row>
    <row r="508" spans="1:5" x14ac:dyDescent="0.2">
      <c r="A508">
        <v>507</v>
      </c>
      <c r="B508">
        <v>0</v>
      </c>
      <c r="C508">
        <f t="shared" si="26"/>
        <v>1237</v>
      </c>
      <c r="D508">
        <f t="shared" si="27"/>
        <v>598</v>
      </c>
      <c r="E508" s="7">
        <f t="shared" si="25"/>
        <v>91.384615384615373</v>
      </c>
    </row>
    <row r="509" spans="1:5" x14ac:dyDescent="0.2">
      <c r="A509">
        <v>508</v>
      </c>
      <c r="B509">
        <v>0</v>
      </c>
      <c r="C509">
        <f t="shared" si="26"/>
        <v>1238</v>
      </c>
      <c r="D509">
        <f t="shared" si="27"/>
        <v>599</v>
      </c>
      <c r="E509" s="7">
        <f t="shared" si="25"/>
        <v>91.537267080745337</v>
      </c>
    </row>
    <row r="510" spans="1:5" x14ac:dyDescent="0.2">
      <c r="A510">
        <v>509</v>
      </c>
      <c r="B510">
        <v>0</v>
      </c>
      <c r="C510">
        <f t="shared" si="26"/>
        <v>1239</v>
      </c>
      <c r="D510">
        <f t="shared" si="27"/>
        <v>600</v>
      </c>
      <c r="E510" s="7">
        <f t="shared" si="25"/>
        <v>91.689918776875288</v>
      </c>
    </row>
    <row r="511" spans="1:5" x14ac:dyDescent="0.2">
      <c r="A511">
        <v>510</v>
      </c>
      <c r="B511">
        <v>0</v>
      </c>
      <c r="C511">
        <f t="shared" si="26"/>
        <v>1240</v>
      </c>
      <c r="D511">
        <f t="shared" si="27"/>
        <v>601</v>
      </c>
      <c r="E511" s="7">
        <f t="shared" si="25"/>
        <v>91.842570473005253</v>
      </c>
    </row>
    <row r="512" spans="1:5" x14ac:dyDescent="0.2">
      <c r="A512">
        <v>511</v>
      </c>
      <c r="B512">
        <v>0</v>
      </c>
      <c r="C512">
        <f t="shared" si="26"/>
        <v>1241</v>
      </c>
      <c r="D512">
        <f t="shared" si="27"/>
        <v>602</v>
      </c>
      <c r="E512" s="7">
        <f t="shared" si="25"/>
        <v>91.995222169135204</v>
      </c>
    </row>
    <row r="513" spans="1:5" x14ac:dyDescent="0.2">
      <c r="A513">
        <v>512</v>
      </c>
      <c r="B513">
        <v>0</v>
      </c>
      <c r="C513">
        <f t="shared" si="26"/>
        <v>1242</v>
      </c>
      <c r="D513">
        <f t="shared" si="27"/>
        <v>603</v>
      </c>
      <c r="E513" s="7">
        <f t="shared" si="25"/>
        <v>92.147873865265169</v>
      </c>
    </row>
    <row r="514" spans="1:5" x14ac:dyDescent="0.2">
      <c r="A514">
        <v>513</v>
      </c>
      <c r="B514">
        <v>0</v>
      </c>
      <c r="C514">
        <f t="shared" si="26"/>
        <v>1243</v>
      </c>
      <c r="D514">
        <f t="shared" si="27"/>
        <v>604</v>
      </c>
      <c r="E514" s="7">
        <f t="shared" si="25"/>
        <v>92.300525561395119</v>
      </c>
    </row>
    <row r="515" spans="1:5" x14ac:dyDescent="0.2">
      <c r="A515">
        <v>514</v>
      </c>
      <c r="B515">
        <v>0</v>
      </c>
      <c r="C515">
        <f t="shared" si="26"/>
        <v>1244</v>
      </c>
      <c r="D515">
        <f t="shared" si="27"/>
        <v>605</v>
      </c>
      <c r="E515" s="7">
        <f t="shared" ref="E515:E578" si="28">$I$16*D515+$I$17</f>
        <v>92.45317725752507</v>
      </c>
    </row>
    <row r="516" spans="1:5" x14ac:dyDescent="0.2">
      <c r="A516">
        <v>515</v>
      </c>
      <c r="B516">
        <v>0</v>
      </c>
      <c r="C516">
        <f t="shared" si="26"/>
        <v>1245</v>
      </c>
      <c r="D516">
        <f t="shared" si="27"/>
        <v>606</v>
      </c>
      <c r="E516" s="7">
        <f t="shared" si="28"/>
        <v>92.605828953655035</v>
      </c>
    </row>
    <row r="517" spans="1:5" x14ac:dyDescent="0.2">
      <c r="A517">
        <v>516</v>
      </c>
      <c r="B517">
        <v>0</v>
      </c>
      <c r="C517">
        <f t="shared" si="26"/>
        <v>1246</v>
      </c>
      <c r="D517">
        <f t="shared" si="27"/>
        <v>607</v>
      </c>
      <c r="E517" s="7">
        <f t="shared" si="28"/>
        <v>92.758480649784985</v>
      </c>
    </row>
    <row r="518" spans="1:5" x14ac:dyDescent="0.2">
      <c r="A518">
        <v>517</v>
      </c>
      <c r="B518">
        <v>0</v>
      </c>
      <c r="C518">
        <f t="shared" si="26"/>
        <v>1247</v>
      </c>
      <c r="D518">
        <f t="shared" si="27"/>
        <v>608</v>
      </c>
      <c r="E518" s="7">
        <f t="shared" si="28"/>
        <v>92.91113234591495</v>
      </c>
    </row>
    <row r="519" spans="1:5" x14ac:dyDescent="0.2">
      <c r="A519">
        <v>518</v>
      </c>
      <c r="B519">
        <v>0</v>
      </c>
      <c r="C519">
        <f t="shared" si="26"/>
        <v>1248</v>
      </c>
      <c r="D519">
        <f t="shared" si="27"/>
        <v>609</v>
      </c>
      <c r="E519" s="7">
        <f t="shared" si="28"/>
        <v>93.063784042044901</v>
      </c>
    </row>
    <row r="520" spans="1:5" x14ac:dyDescent="0.2">
      <c r="A520">
        <v>519</v>
      </c>
      <c r="B520">
        <v>0</v>
      </c>
      <c r="C520">
        <f t="shared" si="26"/>
        <v>1249</v>
      </c>
      <c r="D520">
        <f t="shared" si="27"/>
        <v>610</v>
      </c>
      <c r="E520" s="7">
        <f t="shared" si="28"/>
        <v>93.216435738174866</v>
      </c>
    </row>
    <row r="521" spans="1:5" x14ac:dyDescent="0.2">
      <c r="A521">
        <v>520</v>
      </c>
      <c r="B521">
        <v>0</v>
      </c>
      <c r="C521">
        <f t="shared" si="26"/>
        <v>1250</v>
      </c>
      <c r="D521">
        <f t="shared" si="27"/>
        <v>611</v>
      </c>
      <c r="E521" s="7">
        <f t="shared" si="28"/>
        <v>93.369087434304816</v>
      </c>
    </row>
    <row r="522" spans="1:5" x14ac:dyDescent="0.2">
      <c r="A522">
        <v>521</v>
      </c>
      <c r="B522">
        <v>0</v>
      </c>
      <c r="C522">
        <f t="shared" si="26"/>
        <v>1251</v>
      </c>
      <c r="D522">
        <f t="shared" si="27"/>
        <v>612</v>
      </c>
      <c r="E522" s="7">
        <f t="shared" si="28"/>
        <v>93.521739130434781</v>
      </c>
    </row>
    <row r="523" spans="1:5" x14ac:dyDescent="0.2">
      <c r="A523">
        <v>522</v>
      </c>
      <c r="B523">
        <v>0</v>
      </c>
      <c r="C523">
        <f t="shared" si="26"/>
        <v>1252</v>
      </c>
      <c r="D523">
        <f t="shared" si="27"/>
        <v>613</v>
      </c>
      <c r="E523" s="7">
        <f t="shared" si="28"/>
        <v>93.674390826564732</v>
      </c>
    </row>
    <row r="524" spans="1:5" x14ac:dyDescent="0.2">
      <c r="A524">
        <v>523</v>
      </c>
      <c r="B524">
        <v>0</v>
      </c>
      <c r="C524">
        <f t="shared" si="26"/>
        <v>1253</v>
      </c>
      <c r="D524">
        <f t="shared" si="27"/>
        <v>614</v>
      </c>
      <c r="E524" s="7">
        <f t="shared" si="28"/>
        <v>93.827042522694683</v>
      </c>
    </row>
    <row r="525" spans="1:5" x14ac:dyDescent="0.2">
      <c r="A525">
        <v>524</v>
      </c>
      <c r="B525">
        <v>0</v>
      </c>
      <c r="C525">
        <f t="shared" si="26"/>
        <v>1254</v>
      </c>
      <c r="D525">
        <f t="shared" si="27"/>
        <v>615</v>
      </c>
      <c r="E525" s="7">
        <f t="shared" si="28"/>
        <v>93.979694218824648</v>
      </c>
    </row>
    <row r="526" spans="1:5" x14ac:dyDescent="0.2">
      <c r="A526">
        <v>525</v>
      </c>
      <c r="B526">
        <v>0</v>
      </c>
      <c r="C526">
        <f t="shared" si="26"/>
        <v>1255</v>
      </c>
      <c r="D526">
        <f t="shared" si="27"/>
        <v>616</v>
      </c>
      <c r="E526" s="7">
        <f t="shared" si="28"/>
        <v>94.132345914954598</v>
      </c>
    </row>
    <row r="527" spans="1:5" x14ac:dyDescent="0.2">
      <c r="A527">
        <v>526</v>
      </c>
      <c r="B527">
        <v>0</v>
      </c>
      <c r="C527">
        <f t="shared" si="26"/>
        <v>1256</v>
      </c>
      <c r="D527">
        <f t="shared" si="27"/>
        <v>617</v>
      </c>
      <c r="E527" s="7">
        <f t="shared" si="28"/>
        <v>94.284997611084563</v>
      </c>
    </row>
    <row r="528" spans="1:5" x14ac:dyDescent="0.2">
      <c r="A528">
        <v>527</v>
      </c>
      <c r="B528">
        <v>0</v>
      </c>
      <c r="C528">
        <f t="shared" si="26"/>
        <v>1257</v>
      </c>
      <c r="D528">
        <f t="shared" si="27"/>
        <v>618</v>
      </c>
      <c r="E528" s="7">
        <f t="shared" si="28"/>
        <v>94.437649307214514</v>
      </c>
    </row>
    <row r="529" spans="1:5" x14ac:dyDescent="0.2">
      <c r="A529">
        <v>528</v>
      </c>
      <c r="B529">
        <v>0</v>
      </c>
      <c r="C529">
        <f t="shared" si="26"/>
        <v>1258</v>
      </c>
      <c r="D529">
        <f t="shared" si="27"/>
        <v>619</v>
      </c>
      <c r="E529" s="7">
        <f t="shared" si="28"/>
        <v>94.590301003344479</v>
      </c>
    </row>
    <row r="530" spans="1:5" x14ac:dyDescent="0.2">
      <c r="A530">
        <v>529</v>
      </c>
      <c r="B530">
        <v>0</v>
      </c>
      <c r="C530">
        <f t="shared" si="26"/>
        <v>1259</v>
      </c>
      <c r="D530">
        <f t="shared" si="27"/>
        <v>620</v>
      </c>
      <c r="E530" s="7">
        <f t="shared" si="28"/>
        <v>94.742952699474429</v>
      </c>
    </row>
    <row r="531" spans="1:5" x14ac:dyDescent="0.2">
      <c r="A531">
        <v>530</v>
      </c>
      <c r="B531">
        <v>0</v>
      </c>
      <c r="C531">
        <f t="shared" si="26"/>
        <v>1260</v>
      </c>
      <c r="D531">
        <f t="shared" si="27"/>
        <v>621</v>
      </c>
      <c r="E531" s="7">
        <f t="shared" si="28"/>
        <v>94.895604395604394</v>
      </c>
    </row>
    <row r="532" spans="1:5" x14ac:dyDescent="0.2">
      <c r="A532">
        <v>531</v>
      </c>
      <c r="B532">
        <v>0</v>
      </c>
      <c r="C532">
        <f t="shared" si="26"/>
        <v>1261</v>
      </c>
      <c r="D532">
        <f t="shared" si="27"/>
        <v>622</v>
      </c>
      <c r="E532" s="7">
        <f t="shared" si="28"/>
        <v>95.048256091734345</v>
      </c>
    </row>
    <row r="533" spans="1:5" x14ac:dyDescent="0.2">
      <c r="A533">
        <v>532</v>
      </c>
      <c r="B533">
        <v>0</v>
      </c>
      <c r="C533">
        <f t="shared" si="26"/>
        <v>1262</v>
      </c>
      <c r="D533">
        <f t="shared" si="27"/>
        <v>623</v>
      </c>
      <c r="E533" s="7">
        <f t="shared" si="28"/>
        <v>95.200907787864296</v>
      </c>
    </row>
    <row r="534" spans="1:5" x14ac:dyDescent="0.2">
      <c r="A534">
        <v>533</v>
      </c>
      <c r="B534">
        <v>0</v>
      </c>
      <c r="C534">
        <f t="shared" si="26"/>
        <v>1263</v>
      </c>
      <c r="D534">
        <f t="shared" si="27"/>
        <v>624</v>
      </c>
      <c r="E534" s="7">
        <f t="shared" si="28"/>
        <v>95.35355948399426</v>
      </c>
    </row>
    <row r="535" spans="1:5" x14ac:dyDescent="0.2">
      <c r="A535">
        <v>534</v>
      </c>
      <c r="B535">
        <v>0</v>
      </c>
      <c r="C535">
        <f t="shared" si="26"/>
        <v>1264</v>
      </c>
      <c r="D535">
        <f t="shared" si="27"/>
        <v>625</v>
      </c>
      <c r="E535" s="7">
        <f t="shared" si="28"/>
        <v>95.506211180124211</v>
      </c>
    </row>
    <row r="536" spans="1:5" x14ac:dyDescent="0.2">
      <c r="A536">
        <v>535</v>
      </c>
      <c r="B536">
        <v>0</v>
      </c>
      <c r="C536">
        <f t="shared" si="26"/>
        <v>1265</v>
      </c>
      <c r="D536">
        <f t="shared" si="27"/>
        <v>626</v>
      </c>
      <c r="E536" s="7">
        <f t="shared" si="28"/>
        <v>95.658862876254176</v>
      </c>
    </row>
    <row r="537" spans="1:5" x14ac:dyDescent="0.2">
      <c r="A537">
        <v>536</v>
      </c>
      <c r="B537">
        <v>0</v>
      </c>
      <c r="C537">
        <f t="shared" si="26"/>
        <v>1266</v>
      </c>
      <c r="D537">
        <f t="shared" si="27"/>
        <v>627</v>
      </c>
      <c r="E537" s="7">
        <f t="shared" si="28"/>
        <v>95.811514572384127</v>
      </c>
    </row>
    <row r="538" spans="1:5" x14ac:dyDescent="0.2">
      <c r="A538">
        <v>537</v>
      </c>
      <c r="B538">
        <v>0</v>
      </c>
      <c r="C538">
        <f t="shared" si="26"/>
        <v>1267</v>
      </c>
      <c r="D538">
        <f t="shared" si="27"/>
        <v>628</v>
      </c>
      <c r="E538" s="7">
        <f t="shared" si="28"/>
        <v>95.964166268514091</v>
      </c>
    </row>
    <row r="539" spans="1:5" x14ac:dyDescent="0.2">
      <c r="A539">
        <v>538</v>
      </c>
      <c r="B539">
        <v>0</v>
      </c>
      <c r="C539">
        <f t="shared" si="26"/>
        <v>1268</v>
      </c>
      <c r="D539">
        <f t="shared" si="27"/>
        <v>629</v>
      </c>
      <c r="E539" s="7">
        <f t="shared" si="28"/>
        <v>96.116817964644042</v>
      </c>
    </row>
    <row r="540" spans="1:5" x14ac:dyDescent="0.2">
      <c r="A540">
        <v>539</v>
      </c>
      <c r="B540">
        <v>0</v>
      </c>
      <c r="C540">
        <f t="shared" si="26"/>
        <v>1269</v>
      </c>
      <c r="D540">
        <f t="shared" si="27"/>
        <v>630</v>
      </c>
      <c r="E540" s="7">
        <f t="shared" si="28"/>
        <v>96.269469660774007</v>
      </c>
    </row>
    <row r="541" spans="1:5" x14ac:dyDescent="0.2">
      <c r="A541">
        <v>540</v>
      </c>
      <c r="B541">
        <v>0</v>
      </c>
      <c r="C541">
        <f t="shared" si="26"/>
        <v>1270</v>
      </c>
      <c r="D541">
        <f t="shared" si="27"/>
        <v>631</v>
      </c>
      <c r="E541" s="7">
        <f t="shared" si="28"/>
        <v>96.422121356903958</v>
      </c>
    </row>
    <row r="542" spans="1:5" x14ac:dyDescent="0.2">
      <c r="A542">
        <v>541</v>
      </c>
      <c r="B542">
        <v>0</v>
      </c>
      <c r="C542">
        <f t="shared" si="26"/>
        <v>1271</v>
      </c>
      <c r="D542">
        <f t="shared" si="27"/>
        <v>632</v>
      </c>
      <c r="E542" s="7">
        <f t="shared" si="28"/>
        <v>96.574773053033908</v>
      </c>
    </row>
    <row r="543" spans="1:5" x14ac:dyDescent="0.2">
      <c r="A543">
        <v>542</v>
      </c>
      <c r="B543">
        <v>0</v>
      </c>
      <c r="C543">
        <f t="shared" si="26"/>
        <v>1272</v>
      </c>
      <c r="D543">
        <f t="shared" si="27"/>
        <v>633</v>
      </c>
      <c r="E543" s="7">
        <f t="shared" si="28"/>
        <v>96.727424749163873</v>
      </c>
    </row>
    <row r="544" spans="1:5" x14ac:dyDescent="0.2">
      <c r="A544">
        <v>543</v>
      </c>
      <c r="B544">
        <v>0</v>
      </c>
      <c r="C544">
        <f t="shared" si="26"/>
        <v>1273</v>
      </c>
      <c r="D544">
        <f t="shared" si="27"/>
        <v>634</v>
      </c>
      <c r="E544" s="7">
        <f t="shared" si="28"/>
        <v>96.880076445293824</v>
      </c>
    </row>
    <row r="545" spans="1:5" x14ac:dyDescent="0.2">
      <c r="A545">
        <v>544</v>
      </c>
      <c r="B545">
        <v>0</v>
      </c>
      <c r="C545">
        <f t="shared" si="26"/>
        <v>1274</v>
      </c>
      <c r="D545">
        <f t="shared" si="27"/>
        <v>635</v>
      </c>
      <c r="E545" s="7">
        <f t="shared" si="28"/>
        <v>97.032728141423789</v>
      </c>
    </row>
    <row r="546" spans="1:5" x14ac:dyDescent="0.2">
      <c r="A546">
        <v>545</v>
      </c>
      <c r="B546">
        <v>0</v>
      </c>
      <c r="C546">
        <f t="shared" si="26"/>
        <v>1275</v>
      </c>
      <c r="D546">
        <f t="shared" si="27"/>
        <v>636</v>
      </c>
      <c r="E546" s="7">
        <f t="shared" si="28"/>
        <v>97.185379837553739</v>
      </c>
    </row>
    <row r="547" spans="1:5" x14ac:dyDescent="0.2">
      <c r="A547">
        <v>546</v>
      </c>
      <c r="B547">
        <v>0</v>
      </c>
      <c r="C547">
        <f t="shared" si="26"/>
        <v>1276</v>
      </c>
      <c r="D547">
        <f t="shared" si="27"/>
        <v>637</v>
      </c>
      <c r="E547" s="7">
        <f t="shared" si="28"/>
        <v>97.338031533683704</v>
      </c>
    </row>
    <row r="548" spans="1:5" x14ac:dyDescent="0.2">
      <c r="A548">
        <v>547</v>
      </c>
      <c r="B548">
        <v>0</v>
      </c>
      <c r="C548">
        <f t="shared" si="26"/>
        <v>1277</v>
      </c>
      <c r="D548">
        <f t="shared" si="27"/>
        <v>638</v>
      </c>
      <c r="E548" s="7">
        <f t="shared" si="28"/>
        <v>97.490683229813655</v>
      </c>
    </row>
    <row r="549" spans="1:5" x14ac:dyDescent="0.2">
      <c r="A549">
        <v>548</v>
      </c>
      <c r="B549">
        <v>0</v>
      </c>
      <c r="C549">
        <f t="shared" si="26"/>
        <v>1278</v>
      </c>
      <c r="D549">
        <f t="shared" si="27"/>
        <v>639</v>
      </c>
      <c r="E549" s="7">
        <f t="shared" si="28"/>
        <v>97.64333492594362</v>
      </c>
    </row>
    <row r="550" spans="1:5" x14ac:dyDescent="0.2">
      <c r="A550">
        <v>549</v>
      </c>
      <c r="B550">
        <v>0</v>
      </c>
      <c r="C550">
        <f t="shared" si="26"/>
        <v>1279</v>
      </c>
      <c r="D550">
        <f t="shared" si="27"/>
        <v>640</v>
      </c>
      <c r="E550" s="7">
        <f t="shared" si="28"/>
        <v>97.795986622073571</v>
      </c>
    </row>
    <row r="551" spans="1:5" x14ac:dyDescent="0.2">
      <c r="A551">
        <v>550</v>
      </c>
      <c r="B551">
        <v>0</v>
      </c>
      <c r="C551">
        <f t="shared" si="26"/>
        <v>1280</v>
      </c>
      <c r="D551">
        <f t="shared" si="27"/>
        <v>641</v>
      </c>
      <c r="E551" s="7">
        <f t="shared" si="28"/>
        <v>97.948638318203521</v>
      </c>
    </row>
    <row r="552" spans="1:5" x14ac:dyDescent="0.2">
      <c r="A552">
        <v>551</v>
      </c>
      <c r="B552">
        <v>0</v>
      </c>
      <c r="C552">
        <f t="shared" si="26"/>
        <v>1281</v>
      </c>
      <c r="D552">
        <f t="shared" si="27"/>
        <v>642</v>
      </c>
      <c r="E552" s="7">
        <f t="shared" si="28"/>
        <v>98.101290014333486</v>
      </c>
    </row>
    <row r="553" spans="1:5" x14ac:dyDescent="0.2">
      <c r="A553">
        <v>552</v>
      </c>
      <c r="B553">
        <v>0</v>
      </c>
      <c r="C553">
        <f t="shared" si="26"/>
        <v>1282</v>
      </c>
      <c r="D553">
        <f t="shared" si="27"/>
        <v>643</v>
      </c>
      <c r="E553" s="7">
        <f t="shared" si="28"/>
        <v>98.253941710463437</v>
      </c>
    </row>
    <row r="554" spans="1:5" x14ac:dyDescent="0.2">
      <c r="A554">
        <v>553</v>
      </c>
      <c r="B554">
        <v>0</v>
      </c>
      <c r="C554">
        <f t="shared" si="26"/>
        <v>1283</v>
      </c>
      <c r="D554">
        <f t="shared" si="27"/>
        <v>644</v>
      </c>
      <c r="E554" s="7">
        <f t="shared" si="28"/>
        <v>98.406593406593402</v>
      </c>
    </row>
    <row r="555" spans="1:5" x14ac:dyDescent="0.2">
      <c r="A555">
        <v>554</v>
      </c>
      <c r="B555">
        <v>0</v>
      </c>
      <c r="C555">
        <f t="shared" si="26"/>
        <v>1284</v>
      </c>
      <c r="D555">
        <f t="shared" si="27"/>
        <v>645</v>
      </c>
      <c r="E555" s="7">
        <f t="shared" si="28"/>
        <v>98.559245102723352</v>
      </c>
    </row>
    <row r="556" spans="1:5" x14ac:dyDescent="0.2">
      <c r="A556">
        <v>555</v>
      </c>
      <c r="B556">
        <v>0</v>
      </c>
      <c r="C556">
        <f t="shared" si="26"/>
        <v>1285</v>
      </c>
      <c r="D556">
        <f t="shared" si="27"/>
        <v>646</v>
      </c>
      <c r="E556" s="7">
        <f t="shared" si="28"/>
        <v>98.711896798853317</v>
      </c>
    </row>
    <row r="557" spans="1:5" x14ac:dyDescent="0.2">
      <c r="A557">
        <v>556</v>
      </c>
      <c r="B557">
        <v>0</v>
      </c>
      <c r="C557">
        <f t="shared" si="26"/>
        <v>1286</v>
      </c>
      <c r="D557">
        <f t="shared" si="27"/>
        <v>647</v>
      </c>
      <c r="E557" s="7">
        <f t="shared" si="28"/>
        <v>98.864548494983268</v>
      </c>
    </row>
    <row r="558" spans="1:5" x14ac:dyDescent="0.2">
      <c r="A558">
        <v>557</v>
      </c>
      <c r="B558">
        <v>0</v>
      </c>
      <c r="C558">
        <f t="shared" si="26"/>
        <v>1287</v>
      </c>
      <c r="D558">
        <f t="shared" si="27"/>
        <v>648</v>
      </c>
      <c r="E558" s="7">
        <f t="shared" si="28"/>
        <v>99.017200191113233</v>
      </c>
    </row>
    <row r="559" spans="1:5" x14ac:dyDescent="0.2">
      <c r="A559">
        <v>558</v>
      </c>
      <c r="B559">
        <v>0</v>
      </c>
      <c r="C559">
        <f t="shared" ref="C559:C622" si="29">A559+730</f>
        <v>1288</v>
      </c>
      <c r="D559">
        <f t="shared" ref="D559:D622" si="30">C559-640+1</f>
        <v>649</v>
      </c>
      <c r="E559" s="7">
        <f t="shared" si="28"/>
        <v>99.169851887243183</v>
      </c>
    </row>
    <row r="560" spans="1:5" x14ac:dyDescent="0.2">
      <c r="A560">
        <v>559</v>
      </c>
      <c r="B560">
        <v>0</v>
      </c>
      <c r="C560">
        <f t="shared" si="29"/>
        <v>1289</v>
      </c>
      <c r="D560">
        <f t="shared" si="30"/>
        <v>650</v>
      </c>
      <c r="E560" s="7">
        <f t="shared" si="28"/>
        <v>99.322503583373134</v>
      </c>
    </row>
    <row r="561" spans="1:5" x14ac:dyDescent="0.2">
      <c r="A561">
        <v>560</v>
      </c>
      <c r="B561">
        <v>0</v>
      </c>
      <c r="C561">
        <f t="shared" si="29"/>
        <v>1290</v>
      </c>
      <c r="D561">
        <f t="shared" si="30"/>
        <v>651</v>
      </c>
      <c r="E561" s="7">
        <f t="shared" si="28"/>
        <v>99.475155279503099</v>
      </c>
    </row>
    <row r="562" spans="1:5" x14ac:dyDescent="0.2">
      <c r="A562">
        <v>561</v>
      </c>
      <c r="B562">
        <v>0</v>
      </c>
      <c r="C562">
        <f t="shared" si="29"/>
        <v>1291</v>
      </c>
      <c r="D562">
        <f t="shared" si="30"/>
        <v>652</v>
      </c>
      <c r="E562" s="7">
        <f t="shared" si="28"/>
        <v>99.62780697563305</v>
      </c>
    </row>
    <row r="563" spans="1:5" x14ac:dyDescent="0.2">
      <c r="A563">
        <v>562</v>
      </c>
      <c r="B563">
        <v>0</v>
      </c>
      <c r="C563">
        <f t="shared" si="29"/>
        <v>1292</v>
      </c>
      <c r="D563">
        <f t="shared" si="30"/>
        <v>653</v>
      </c>
      <c r="E563" s="7">
        <f t="shared" si="28"/>
        <v>99.780458671763014</v>
      </c>
    </row>
    <row r="564" spans="1:5" x14ac:dyDescent="0.2">
      <c r="A564">
        <v>563</v>
      </c>
      <c r="B564">
        <v>0</v>
      </c>
      <c r="C564">
        <f t="shared" si="29"/>
        <v>1293</v>
      </c>
      <c r="D564">
        <f t="shared" si="30"/>
        <v>654</v>
      </c>
      <c r="E564" s="7">
        <f t="shared" si="28"/>
        <v>99.933110367892965</v>
      </c>
    </row>
    <row r="565" spans="1:5" x14ac:dyDescent="0.2">
      <c r="A565">
        <v>564</v>
      </c>
      <c r="B565">
        <v>0</v>
      </c>
      <c r="C565">
        <f t="shared" si="29"/>
        <v>1294</v>
      </c>
      <c r="D565">
        <f t="shared" si="30"/>
        <v>655</v>
      </c>
      <c r="E565" s="7">
        <f t="shared" si="28"/>
        <v>100.08576206402293</v>
      </c>
    </row>
    <row r="566" spans="1:5" x14ac:dyDescent="0.2">
      <c r="A566">
        <v>565</v>
      </c>
      <c r="B566">
        <v>0</v>
      </c>
      <c r="C566">
        <f t="shared" si="29"/>
        <v>1295</v>
      </c>
      <c r="D566">
        <f t="shared" si="30"/>
        <v>656</v>
      </c>
      <c r="E566" s="7">
        <f t="shared" si="28"/>
        <v>100.23841376015288</v>
      </c>
    </row>
    <row r="567" spans="1:5" x14ac:dyDescent="0.2">
      <c r="A567">
        <v>566</v>
      </c>
      <c r="B567">
        <v>0</v>
      </c>
      <c r="C567">
        <f t="shared" si="29"/>
        <v>1296</v>
      </c>
      <c r="D567">
        <f t="shared" si="30"/>
        <v>657</v>
      </c>
      <c r="E567" s="7">
        <f t="shared" si="28"/>
        <v>100.39106545628285</v>
      </c>
    </row>
    <row r="568" spans="1:5" x14ac:dyDescent="0.2">
      <c r="A568">
        <v>567</v>
      </c>
      <c r="B568">
        <v>0</v>
      </c>
      <c r="C568">
        <f t="shared" si="29"/>
        <v>1297</v>
      </c>
      <c r="D568">
        <f t="shared" si="30"/>
        <v>658</v>
      </c>
      <c r="E568" s="7">
        <f t="shared" si="28"/>
        <v>100.5437171524128</v>
      </c>
    </row>
    <row r="569" spans="1:5" x14ac:dyDescent="0.2">
      <c r="A569">
        <v>568</v>
      </c>
      <c r="B569">
        <v>0</v>
      </c>
      <c r="C569">
        <f t="shared" si="29"/>
        <v>1298</v>
      </c>
      <c r="D569">
        <f t="shared" si="30"/>
        <v>659</v>
      </c>
      <c r="E569" s="7">
        <f t="shared" si="28"/>
        <v>100.69636884854275</v>
      </c>
    </row>
    <row r="570" spans="1:5" x14ac:dyDescent="0.2">
      <c r="A570">
        <v>569</v>
      </c>
      <c r="B570">
        <v>0</v>
      </c>
      <c r="C570">
        <f t="shared" si="29"/>
        <v>1299</v>
      </c>
      <c r="D570">
        <f t="shared" si="30"/>
        <v>660</v>
      </c>
      <c r="E570" s="7">
        <f t="shared" si="28"/>
        <v>100.84902054467271</v>
      </c>
    </row>
    <row r="571" spans="1:5" x14ac:dyDescent="0.2">
      <c r="A571">
        <v>570</v>
      </c>
      <c r="B571">
        <v>0</v>
      </c>
      <c r="C571">
        <f t="shared" si="29"/>
        <v>1300</v>
      </c>
      <c r="D571">
        <f t="shared" si="30"/>
        <v>661</v>
      </c>
      <c r="E571" s="7">
        <f t="shared" si="28"/>
        <v>101.00167224080266</v>
      </c>
    </row>
    <row r="572" spans="1:5" x14ac:dyDescent="0.2">
      <c r="A572">
        <v>571</v>
      </c>
      <c r="B572">
        <v>0</v>
      </c>
      <c r="C572">
        <f t="shared" si="29"/>
        <v>1301</v>
      </c>
      <c r="D572">
        <f t="shared" si="30"/>
        <v>662</v>
      </c>
      <c r="E572" s="7">
        <f t="shared" si="28"/>
        <v>101.15432393693263</v>
      </c>
    </row>
    <row r="573" spans="1:5" x14ac:dyDescent="0.2">
      <c r="A573">
        <v>572</v>
      </c>
      <c r="B573">
        <v>0</v>
      </c>
      <c r="C573">
        <f t="shared" si="29"/>
        <v>1302</v>
      </c>
      <c r="D573">
        <f t="shared" si="30"/>
        <v>663</v>
      </c>
      <c r="E573" s="7">
        <f t="shared" si="28"/>
        <v>101.30697563306258</v>
      </c>
    </row>
    <row r="574" spans="1:5" x14ac:dyDescent="0.2">
      <c r="A574">
        <v>573</v>
      </c>
      <c r="B574">
        <v>0</v>
      </c>
      <c r="C574">
        <f t="shared" si="29"/>
        <v>1303</v>
      </c>
      <c r="D574">
        <f t="shared" si="30"/>
        <v>664</v>
      </c>
      <c r="E574" s="7">
        <f t="shared" si="28"/>
        <v>101.45962732919254</v>
      </c>
    </row>
    <row r="575" spans="1:5" x14ac:dyDescent="0.2">
      <c r="A575">
        <v>574</v>
      </c>
      <c r="B575">
        <v>0</v>
      </c>
      <c r="C575">
        <f t="shared" si="29"/>
        <v>1304</v>
      </c>
      <c r="D575">
        <f t="shared" si="30"/>
        <v>665</v>
      </c>
      <c r="E575" s="7">
        <f t="shared" si="28"/>
        <v>101.61227902532249</v>
      </c>
    </row>
    <row r="576" spans="1:5" x14ac:dyDescent="0.2">
      <c r="A576">
        <v>575</v>
      </c>
      <c r="B576">
        <v>0</v>
      </c>
      <c r="C576">
        <f t="shared" si="29"/>
        <v>1305</v>
      </c>
      <c r="D576">
        <f t="shared" si="30"/>
        <v>666</v>
      </c>
      <c r="E576" s="7">
        <f t="shared" si="28"/>
        <v>101.76493072145246</v>
      </c>
    </row>
    <row r="577" spans="1:5" x14ac:dyDescent="0.2">
      <c r="A577">
        <v>576</v>
      </c>
      <c r="B577">
        <v>0</v>
      </c>
      <c r="C577">
        <f t="shared" si="29"/>
        <v>1306</v>
      </c>
      <c r="D577">
        <f t="shared" si="30"/>
        <v>667</v>
      </c>
      <c r="E577" s="7">
        <f t="shared" si="28"/>
        <v>101.91758241758241</v>
      </c>
    </row>
    <row r="578" spans="1:5" x14ac:dyDescent="0.2">
      <c r="A578">
        <v>577</v>
      </c>
      <c r="B578">
        <v>0</v>
      </c>
      <c r="C578">
        <f t="shared" si="29"/>
        <v>1307</v>
      </c>
      <c r="D578">
        <f t="shared" si="30"/>
        <v>668</v>
      </c>
      <c r="E578" s="7">
        <f t="shared" si="28"/>
        <v>102.07023411371236</v>
      </c>
    </row>
    <row r="579" spans="1:5" x14ac:dyDescent="0.2">
      <c r="A579">
        <v>578</v>
      </c>
      <c r="B579">
        <v>0</v>
      </c>
      <c r="C579">
        <f t="shared" si="29"/>
        <v>1308</v>
      </c>
      <c r="D579">
        <f t="shared" si="30"/>
        <v>669</v>
      </c>
      <c r="E579" s="7">
        <f t="shared" ref="E579:E642" si="31">$I$16*D579+$I$17</f>
        <v>102.22288580984232</v>
      </c>
    </row>
    <row r="580" spans="1:5" x14ac:dyDescent="0.2">
      <c r="A580">
        <v>579</v>
      </c>
      <c r="B580">
        <v>0</v>
      </c>
      <c r="C580">
        <f t="shared" si="29"/>
        <v>1309</v>
      </c>
      <c r="D580">
        <f t="shared" si="30"/>
        <v>670</v>
      </c>
      <c r="E580" s="7">
        <f t="shared" si="31"/>
        <v>102.37553750597228</v>
      </c>
    </row>
    <row r="581" spans="1:5" x14ac:dyDescent="0.2">
      <c r="A581">
        <v>580</v>
      </c>
      <c r="B581">
        <v>0</v>
      </c>
      <c r="C581">
        <f t="shared" si="29"/>
        <v>1310</v>
      </c>
      <c r="D581">
        <f t="shared" si="30"/>
        <v>671</v>
      </c>
      <c r="E581" s="7">
        <f t="shared" si="31"/>
        <v>102.52818920210224</v>
      </c>
    </row>
    <row r="582" spans="1:5" x14ac:dyDescent="0.2">
      <c r="A582">
        <v>581</v>
      </c>
      <c r="B582">
        <v>0</v>
      </c>
      <c r="C582">
        <f t="shared" si="29"/>
        <v>1311</v>
      </c>
      <c r="D582">
        <f t="shared" si="30"/>
        <v>672</v>
      </c>
      <c r="E582" s="7">
        <f t="shared" si="31"/>
        <v>102.68084089823219</v>
      </c>
    </row>
    <row r="583" spans="1:5" x14ac:dyDescent="0.2">
      <c r="A583">
        <v>582</v>
      </c>
      <c r="B583">
        <v>0</v>
      </c>
      <c r="C583">
        <f t="shared" si="29"/>
        <v>1312</v>
      </c>
      <c r="D583">
        <f t="shared" si="30"/>
        <v>673</v>
      </c>
      <c r="E583" s="7">
        <f t="shared" si="31"/>
        <v>102.83349259436216</v>
      </c>
    </row>
    <row r="584" spans="1:5" x14ac:dyDescent="0.2">
      <c r="A584">
        <v>583</v>
      </c>
      <c r="B584">
        <v>0</v>
      </c>
      <c r="C584">
        <f t="shared" si="29"/>
        <v>1313</v>
      </c>
      <c r="D584">
        <f t="shared" si="30"/>
        <v>674</v>
      </c>
      <c r="E584" s="7">
        <f t="shared" si="31"/>
        <v>102.98614429049211</v>
      </c>
    </row>
    <row r="585" spans="1:5" x14ac:dyDescent="0.2">
      <c r="A585">
        <v>584</v>
      </c>
      <c r="B585">
        <v>0</v>
      </c>
      <c r="C585">
        <f t="shared" si="29"/>
        <v>1314</v>
      </c>
      <c r="D585">
        <f t="shared" si="30"/>
        <v>675</v>
      </c>
      <c r="E585" s="7">
        <f t="shared" si="31"/>
        <v>103.13879598662207</v>
      </c>
    </row>
    <row r="586" spans="1:5" x14ac:dyDescent="0.2">
      <c r="A586">
        <v>585</v>
      </c>
      <c r="B586">
        <v>0</v>
      </c>
      <c r="C586">
        <f t="shared" si="29"/>
        <v>1315</v>
      </c>
      <c r="D586">
        <f t="shared" si="30"/>
        <v>676</v>
      </c>
      <c r="E586" s="7">
        <f t="shared" si="31"/>
        <v>103.29144768275202</v>
      </c>
    </row>
    <row r="587" spans="1:5" x14ac:dyDescent="0.2">
      <c r="A587">
        <v>586</v>
      </c>
      <c r="B587">
        <v>0</v>
      </c>
      <c r="C587">
        <f t="shared" si="29"/>
        <v>1316</v>
      </c>
      <c r="D587">
        <f t="shared" si="30"/>
        <v>677</v>
      </c>
      <c r="E587" s="7">
        <f t="shared" si="31"/>
        <v>103.44409937888197</v>
      </c>
    </row>
    <row r="588" spans="1:5" x14ac:dyDescent="0.2">
      <c r="A588">
        <v>587</v>
      </c>
      <c r="B588">
        <v>0</v>
      </c>
      <c r="C588">
        <f t="shared" si="29"/>
        <v>1317</v>
      </c>
      <c r="D588">
        <f t="shared" si="30"/>
        <v>678</v>
      </c>
      <c r="E588" s="7">
        <f t="shared" si="31"/>
        <v>103.59675107501194</v>
      </c>
    </row>
    <row r="589" spans="1:5" x14ac:dyDescent="0.2">
      <c r="A589">
        <v>588</v>
      </c>
      <c r="B589">
        <v>0</v>
      </c>
      <c r="C589">
        <f t="shared" si="29"/>
        <v>1318</v>
      </c>
      <c r="D589">
        <f t="shared" si="30"/>
        <v>679</v>
      </c>
      <c r="E589" s="7">
        <f t="shared" si="31"/>
        <v>103.74940277114189</v>
      </c>
    </row>
    <row r="590" spans="1:5" x14ac:dyDescent="0.2">
      <c r="A590">
        <v>589</v>
      </c>
      <c r="B590">
        <v>0</v>
      </c>
      <c r="C590">
        <f t="shared" si="29"/>
        <v>1319</v>
      </c>
      <c r="D590">
        <f t="shared" si="30"/>
        <v>680</v>
      </c>
      <c r="E590" s="7">
        <f t="shared" si="31"/>
        <v>103.90205446727185</v>
      </c>
    </row>
    <row r="591" spans="1:5" x14ac:dyDescent="0.2">
      <c r="A591">
        <v>590</v>
      </c>
      <c r="B591">
        <v>0</v>
      </c>
      <c r="C591">
        <f t="shared" si="29"/>
        <v>1320</v>
      </c>
      <c r="D591">
        <f t="shared" si="30"/>
        <v>681</v>
      </c>
      <c r="E591" s="7">
        <f t="shared" si="31"/>
        <v>104.0547061634018</v>
      </c>
    </row>
    <row r="592" spans="1:5" x14ac:dyDescent="0.2">
      <c r="A592">
        <v>591</v>
      </c>
      <c r="B592">
        <v>0</v>
      </c>
      <c r="C592">
        <f t="shared" si="29"/>
        <v>1321</v>
      </c>
      <c r="D592">
        <f t="shared" si="30"/>
        <v>682</v>
      </c>
      <c r="E592" s="7">
        <f t="shared" si="31"/>
        <v>104.20735785953177</v>
      </c>
    </row>
    <row r="593" spans="1:5" x14ac:dyDescent="0.2">
      <c r="A593">
        <v>592</v>
      </c>
      <c r="B593">
        <v>0</v>
      </c>
      <c r="C593">
        <f t="shared" si="29"/>
        <v>1322</v>
      </c>
      <c r="D593">
        <f t="shared" si="30"/>
        <v>683</v>
      </c>
      <c r="E593" s="7">
        <f t="shared" si="31"/>
        <v>104.36000955566172</v>
      </c>
    </row>
    <row r="594" spans="1:5" x14ac:dyDescent="0.2">
      <c r="A594">
        <v>593</v>
      </c>
      <c r="B594">
        <v>0</v>
      </c>
      <c r="C594">
        <f t="shared" si="29"/>
        <v>1323</v>
      </c>
      <c r="D594">
        <f t="shared" si="30"/>
        <v>684</v>
      </c>
      <c r="E594" s="7">
        <f t="shared" si="31"/>
        <v>104.51266125179168</v>
      </c>
    </row>
    <row r="595" spans="1:5" x14ac:dyDescent="0.2">
      <c r="A595">
        <v>594</v>
      </c>
      <c r="B595">
        <v>0</v>
      </c>
      <c r="C595">
        <f t="shared" si="29"/>
        <v>1324</v>
      </c>
      <c r="D595">
        <f t="shared" si="30"/>
        <v>685</v>
      </c>
      <c r="E595" s="7">
        <f t="shared" si="31"/>
        <v>104.66531294792163</v>
      </c>
    </row>
    <row r="596" spans="1:5" x14ac:dyDescent="0.2">
      <c r="A596">
        <v>595</v>
      </c>
      <c r="B596">
        <v>0</v>
      </c>
      <c r="C596">
        <f t="shared" si="29"/>
        <v>1325</v>
      </c>
      <c r="D596">
        <f t="shared" si="30"/>
        <v>686</v>
      </c>
      <c r="E596" s="7">
        <f t="shared" si="31"/>
        <v>104.81796464405159</v>
      </c>
    </row>
    <row r="597" spans="1:5" x14ac:dyDescent="0.2">
      <c r="A597">
        <v>596</v>
      </c>
      <c r="B597">
        <v>0</v>
      </c>
      <c r="C597">
        <f t="shared" si="29"/>
        <v>1326</v>
      </c>
      <c r="D597">
        <f t="shared" si="30"/>
        <v>687</v>
      </c>
      <c r="E597" s="7">
        <f t="shared" si="31"/>
        <v>104.97061634018155</v>
      </c>
    </row>
    <row r="598" spans="1:5" x14ac:dyDescent="0.2">
      <c r="A598">
        <v>597</v>
      </c>
      <c r="B598">
        <v>0</v>
      </c>
      <c r="C598">
        <f t="shared" si="29"/>
        <v>1327</v>
      </c>
      <c r="D598">
        <f t="shared" si="30"/>
        <v>688</v>
      </c>
      <c r="E598" s="7">
        <f t="shared" si="31"/>
        <v>105.1232680363115</v>
      </c>
    </row>
    <row r="599" spans="1:5" x14ac:dyDescent="0.2">
      <c r="A599">
        <v>598</v>
      </c>
      <c r="B599">
        <v>0</v>
      </c>
      <c r="C599">
        <f t="shared" si="29"/>
        <v>1328</v>
      </c>
      <c r="D599">
        <f t="shared" si="30"/>
        <v>689</v>
      </c>
      <c r="E599" s="7">
        <f t="shared" si="31"/>
        <v>105.27591973244147</v>
      </c>
    </row>
    <row r="600" spans="1:5" x14ac:dyDescent="0.2">
      <c r="A600">
        <v>599</v>
      </c>
      <c r="B600">
        <v>0</v>
      </c>
      <c r="C600">
        <f t="shared" si="29"/>
        <v>1329</v>
      </c>
      <c r="D600">
        <f t="shared" si="30"/>
        <v>690</v>
      </c>
      <c r="E600" s="7">
        <f t="shared" si="31"/>
        <v>105.42857142857142</v>
      </c>
    </row>
    <row r="601" spans="1:5" x14ac:dyDescent="0.2">
      <c r="A601">
        <v>600</v>
      </c>
      <c r="B601">
        <v>0</v>
      </c>
      <c r="C601">
        <f t="shared" si="29"/>
        <v>1330</v>
      </c>
      <c r="D601">
        <f t="shared" si="30"/>
        <v>691</v>
      </c>
      <c r="E601" s="7">
        <f t="shared" si="31"/>
        <v>105.58122312470138</v>
      </c>
    </row>
    <row r="602" spans="1:5" x14ac:dyDescent="0.2">
      <c r="A602">
        <v>601</v>
      </c>
      <c r="B602">
        <v>0</v>
      </c>
      <c r="C602">
        <f t="shared" si="29"/>
        <v>1331</v>
      </c>
      <c r="D602">
        <f t="shared" si="30"/>
        <v>692</v>
      </c>
      <c r="E602" s="7">
        <f t="shared" si="31"/>
        <v>105.73387482083133</v>
      </c>
    </row>
    <row r="603" spans="1:5" x14ac:dyDescent="0.2">
      <c r="A603">
        <v>602</v>
      </c>
      <c r="B603">
        <v>0</v>
      </c>
      <c r="C603">
        <f t="shared" si="29"/>
        <v>1332</v>
      </c>
      <c r="D603">
        <f t="shared" si="30"/>
        <v>693</v>
      </c>
      <c r="E603" s="7">
        <f t="shared" si="31"/>
        <v>105.8865265169613</v>
      </c>
    </row>
    <row r="604" spans="1:5" x14ac:dyDescent="0.2">
      <c r="A604">
        <v>603</v>
      </c>
      <c r="B604">
        <v>0</v>
      </c>
      <c r="C604">
        <f t="shared" si="29"/>
        <v>1333</v>
      </c>
      <c r="D604">
        <f t="shared" si="30"/>
        <v>694</v>
      </c>
      <c r="E604" s="7">
        <f t="shared" si="31"/>
        <v>106.03917821309125</v>
      </c>
    </row>
    <row r="605" spans="1:5" x14ac:dyDescent="0.2">
      <c r="A605">
        <v>604</v>
      </c>
      <c r="B605">
        <v>0</v>
      </c>
      <c r="C605">
        <f t="shared" si="29"/>
        <v>1334</v>
      </c>
      <c r="D605">
        <f t="shared" si="30"/>
        <v>695</v>
      </c>
      <c r="E605" s="7">
        <f t="shared" si="31"/>
        <v>106.1918299092212</v>
      </c>
    </row>
    <row r="606" spans="1:5" x14ac:dyDescent="0.2">
      <c r="A606">
        <v>605</v>
      </c>
      <c r="B606">
        <v>0</v>
      </c>
      <c r="C606">
        <f t="shared" si="29"/>
        <v>1335</v>
      </c>
      <c r="D606">
        <f t="shared" si="30"/>
        <v>696</v>
      </c>
      <c r="E606" s="7">
        <f t="shared" si="31"/>
        <v>106.34448160535116</v>
      </c>
    </row>
    <row r="607" spans="1:5" x14ac:dyDescent="0.2">
      <c r="A607">
        <v>606</v>
      </c>
      <c r="B607">
        <v>0</v>
      </c>
      <c r="C607">
        <f t="shared" si="29"/>
        <v>1336</v>
      </c>
      <c r="D607">
        <f t="shared" si="30"/>
        <v>697</v>
      </c>
      <c r="E607" s="7">
        <f t="shared" si="31"/>
        <v>106.49713330148111</v>
      </c>
    </row>
    <row r="608" spans="1:5" x14ac:dyDescent="0.2">
      <c r="A608">
        <v>607</v>
      </c>
      <c r="B608">
        <v>0</v>
      </c>
      <c r="C608">
        <f t="shared" si="29"/>
        <v>1337</v>
      </c>
      <c r="D608">
        <f t="shared" si="30"/>
        <v>698</v>
      </c>
      <c r="E608" s="7">
        <f t="shared" si="31"/>
        <v>106.64978499761108</v>
      </c>
    </row>
    <row r="609" spans="1:5" x14ac:dyDescent="0.2">
      <c r="A609">
        <v>608</v>
      </c>
      <c r="B609">
        <v>0</v>
      </c>
      <c r="C609">
        <f t="shared" si="29"/>
        <v>1338</v>
      </c>
      <c r="D609">
        <f t="shared" si="30"/>
        <v>699</v>
      </c>
      <c r="E609" s="7">
        <f t="shared" si="31"/>
        <v>106.80243669374103</v>
      </c>
    </row>
    <row r="610" spans="1:5" x14ac:dyDescent="0.2">
      <c r="A610">
        <v>609</v>
      </c>
      <c r="B610">
        <v>0</v>
      </c>
      <c r="C610">
        <f t="shared" si="29"/>
        <v>1339</v>
      </c>
      <c r="D610">
        <f t="shared" si="30"/>
        <v>700</v>
      </c>
      <c r="E610" s="7">
        <f t="shared" si="31"/>
        <v>106.95508838987099</v>
      </c>
    </row>
    <row r="611" spans="1:5" x14ac:dyDescent="0.2">
      <c r="A611">
        <v>610</v>
      </c>
      <c r="B611">
        <v>0</v>
      </c>
      <c r="C611">
        <f t="shared" si="29"/>
        <v>1340</v>
      </c>
      <c r="D611">
        <f t="shared" si="30"/>
        <v>701</v>
      </c>
      <c r="E611" s="7">
        <f t="shared" si="31"/>
        <v>107.10774008600094</v>
      </c>
    </row>
    <row r="612" spans="1:5" x14ac:dyDescent="0.2">
      <c r="A612">
        <v>611</v>
      </c>
      <c r="B612">
        <v>0</v>
      </c>
      <c r="C612">
        <f t="shared" si="29"/>
        <v>1341</v>
      </c>
      <c r="D612">
        <f t="shared" si="30"/>
        <v>702</v>
      </c>
      <c r="E612" s="7">
        <f t="shared" si="31"/>
        <v>107.26039178213091</v>
      </c>
    </row>
    <row r="613" spans="1:5" x14ac:dyDescent="0.2">
      <c r="A613">
        <v>612</v>
      </c>
      <c r="B613">
        <v>0</v>
      </c>
      <c r="C613">
        <f t="shared" si="29"/>
        <v>1342</v>
      </c>
      <c r="D613">
        <f t="shared" si="30"/>
        <v>703</v>
      </c>
      <c r="E613" s="7">
        <f t="shared" si="31"/>
        <v>107.41304347826086</v>
      </c>
    </row>
    <row r="614" spans="1:5" x14ac:dyDescent="0.2">
      <c r="A614">
        <v>613</v>
      </c>
      <c r="B614">
        <v>0</v>
      </c>
      <c r="C614">
        <f t="shared" si="29"/>
        <v>1343</v>
      </c>
      <c r="D614">
        <f t="shared" si="30"/>
        <v>704</v>
      </c>
      <c r="E614" s="7">
        <f t="shared" si="31"/>
        <v>107.56569517439083</v>
      </c>
    </row>
    <row r="615" spans="1:5" x14ac:dyDescent="0.2">
      <c r="A615">
        <v>614</v>
      </c>
      <c r="B615">
        <v>0</v>
      </c>
      <c r="C615">
        <f t="shared" si="29"/>
        <v>1344</v>
      </c>
      <c r="D615">
        <f t="shared" si="30"/>
        <v>705</v>
      </c>
      <c r="E615" s="7">
        <f t="shared" si="31"/>
        <v>107.71834687052078</v>
      </c>
    </row>
    <row r="616" spans="1:5" x14ac:dyDescent="0.2">
      <c r="A616">
        <v>615</v>
      </c>
      <c r="B616">
        <v>0</v>
      </c>
      <c r="C616">
        <f t="shared" si="29"/>
        <v>1345</v>
      </c>
      <c r="D616">
        <f t="shared" si="30"/>
        <v>706</v>
      </c>
      <c r="E616" s="7">
        <f t="shared" si="31"/>
        <v>107.87099856665073</v>
      </c>
    </row>
    <row r="617" spans="1:5" x14ac:dyDescent="0.2">
      <c r="A617">
        <v>616</v>
      </c>
      <c r="B617">
        <v>0</v>
      </c>
      <c r="C617">
        <f t="shared" si="29"/>
        <v>1346</v>
      </c>
      <c r="D617">
        <f t="shared" si="30"/>
        <v>707</v>
      </c>
      <c r="E617" s="7">
        <f t="shared" si="31"/>
        <v>108.02365026278069</v>
      </c>
    </row>
    <row r="618" spans="1:5" x14ac:dyDescent="0.2">
      <c r="A618">
        <v>617</v>
      </c>
      <c r="B618">
        <v>0</v>
      </c>
      <c r="C618">
        <f t="shared" si="29"/>
        <v>1347</v>
      </c>
      <c r="D618">
        <f t="shared" si="30"/>
        <v>708</v>
      </c>
      <c r="E618" s="7">
        <f t="shared" si="31"/>
        <v>108.17630195891064</v>
      </c>
    </row>
    <row r="619" spans="1:5" x14ac:dyDescent="0.2">
      <c r="A619">
        <v>618</v>
      </c>
      <c r="B619">
        <v>0</v>
      </c>
      <c r="C619">
        <f t="shared" si="29"/>
        <v>1348</v>
      </c>
      <c r="D619">
        <f t="shared" si="30"/>
        <v>709</v>
      </c>
      <c r="E619" s="7">
        <f t="shared" si="31"/>
        <v>108.32895365504061</v>
      </c>
    </row>
    <row r="620" spans="1:5" x14ac:dyDescent="0.2">
      <c r="A620">
        <v>619</v>
      </c>
      <c r="B620">
        <v>0</v>
      </c>
      <c r="C620">
        <f t="shared" si="29"/>
        <v>1349</v>
      </c>
      <c r="D620">
        <f t="shared" si="30"/>
        <v>710</v>
      </c>
      <c r="E620" s="7">
        <f t="shared" si="31"/>
        <v>108.48160535117056</v>
      </c>
    </row>
    <row r="621" spans="1:5" x14ac:dyDescent="0.2">
      <c r="A621">
        <v>620</v>
      </c>
      <c r="B621">
        <v>0</v>
      </c>
      <c r="C621">
        <f t="shared" si="29"/>
        <v>1350</v>
      </c>
      <c r="D621">
        <f t="shared" si="30"/>
        <v>711</v>
      </c>
      <c r="E621" s="7">
        <f t="shared" si="31"/>
        <v>108.63425704730052</v>
      </c>
    </row>
    <row r="622" spans="1:5" x14ac:dyDescent="0.2">
      <c r="A622">
        <v>621</v>
      </c>
      <c r="B622">
        <v>0</v>
      </c>
      <c r="C622">
        <f t="shared" si="29"/>
        <v>1351</v>
      </c>
      <c r="D622">
        <f t="shared" si="30"/>
        <v>712</v>
      </c>
      <c r="E622" s="7">
        <f t="shared" si="31"/>
        <v>108.78690874343047</v>
      </c>
    </row>
    <row r="623" spans="1:5" x14ac:dyDescent="0.2">
      <c r="A623">
        <v>622</v>
      </c>
      <c r="B623">
        <v>0</v>
      </c>
      <c r="C623">
        <f t="shared" ref="C623:C686" si="32">A623+730</f>
        <v>1352</v>
      </c>
      <c r="D623">
        <f t="shared" ref="D623:D686" si="33">C623-640+1</f>
        <v>713</v>
      </c>
      <c r="E623" s="7">
        <f t="shared" si="31"/>
        <v>108.93956043956044</v>
      </c>
    </row>
    <row r="624" spans="1:5" x14ac:dyDescent="0.2">
      <c r="A624">
        <v>623</v>
      </c>
      <c r="B624">
        <v>0</v>
      </c>
      <c r="C624">
        <f t="shared" si="32"/>
        <v>1353</v>
      </c>
      <c r="D624">
        <f t="shared" si="33"/>
        <v>714</v>
      </c>
      <c r="E624" s="7">
        <f t="shared" si="31"/>
        <v>109.09221213569039</v>
      </c>
    </row>
    <row r="625" spans="1:5" x14ac:dyDescent="0.2">
      <c r="A625">
        <v>624</v>
      </c>
      <c r="B625">
        <v>0</v>
      </c>
      <c r="C625">
        <f t="shared" si="32"/>
        <v>1354</v>
      </c>
      <c r="D625">
        <f t="shared" si="33"/>
        <v>715</v>
      </c>
      <c r="E625" s="7">
        <f t="shared" si="31"/>
        <v>109.24486383182034</v>
      </c>
    </row>
    <row r="626" spans="1:5" x14ac:dyDescent="0.2">
      <c r="A626">
        <v>625</v>
      </c>
      <c r="B626">
        <v>0</v>
      </c>
      <c r="C626">
        <f t="shared" si="32"/>
        <v>1355</v>
      </c>
      <c r="D626">
        <f t="shared" si="33"/>
        <v>716</v>
      </c>
      <c r="E626" s="7">
        <f t="shared" si="31"/>
        <v>109.3975155279503</v>
      </c>
    </row>
    <row r="627" spans="1:5" x14ac:dyDescent="0.2">
      <c r="A627">
        <v>626</v>
      </c>
      <c r="B627">
        <v>0</v>
      </c>
      <c r="C627">
        <f t="shared" si="32"/>
        <v>1356</v>
      </c>
      <c r="D627">
        <f t="shared" si="33"/>
        <v>717</v>
      </c>
      <c r="E627" s="7">
        <f t="shared" si="31"/>
        <v>109.55016722408025</v>
      </c>
    </row>
    <row r="628" spans="1:5" x14ac:dyDescent="0.2">
      <c r="A628">
        <v>627</v>
      </c>
      <c r="B628">
        <v>0</v>
      </c>
      <c r="C628">
        <f t="shared" si="32"/>
        <v>1357</v>
      </c>
      <c r="D628">
        <f t="shared" si="33"/>
        <v>718</v>
      </c>
      <c r="E628" s="7">
        <f t="shared" si="31"/>
        <v>109.70281892021022</v>
      </c>
    </row>
    <row r="629" spans="1:5" x14ac:dyDescent="0.2">
      <c r="A629">
        <v>628</v>
      </c>
      <c r="B629">
        <v>0</v>
      </c>
      <c r="C629">
        <f t="shared" si="32"/>
        <v>1358</v>
      </c>
      <c r="D629">
        <f t="shared" si="33"/>
        <v>719</v>
      </c>
      <c r="E629" s="7">
        <f t="shared" si="31"/>
        <v>109.85547061634017</v>
      </c>
    </row>
    <row r="630" spans="1:5" x14ac:dyDescent="0.2">
      <c r="A630">
        <v>629</v>
      </c>
      <c r="B630">
        <v>0</v>
      </c>
      <c r="C630">
        <f t="shared" si="32"/>
        <v>1359</v>
      </c>
      <c r="D630">
        <f t="shared" si="33"/>
        <v>720</v>
      </c>
      <c r="E630" s="7">
        <f t="shared" si="31"/>
        <v>110.00812231247014</v>
      </c>
    </row>
    <row r="631" spans="1:5" x14ac:dyDescent="0.2">
      <c r="A631">
        <v>630</v>
      </c>
      <c r="B631">
        <v>0</v>
      </c>
      <c r="C631">
        <f t="shared" si="32"/>
        <v>1360</v>
      </c>
      <c r="D631">
        <f t="shared" si="33"/>
        <v>721</v>
      </c>
      <c r="E631" s="7">
        <f t="shared" si="31"/>
        <v>110.16077400860009</v>
      </c>
    </row>
    <row r="632" spans="1:5" x14ac:dyDescent="0.2">
      <c r="A632">
        <v>631</v>
      </c>
      <c r="B632">
        <v>0</v>
      </c>
      <c r="C632">
        <f t="shared" si="32"/>
        <v>1361</v>
      </c>
      <c r="D632">
        <f t="shared" si="33"/>
        <v>722</v>
      </c>
      <c r="E632" s="7">
        <f t="shared" si="31"/>
        <v>110.31342570473005</v>
      </c>
    </row>
    <row r="633" spans="1:5" x14ac:dyDescent="0.2">
      <c r="A633">
        <v>632</v>
      </c>
      <c r="B633">
        <v>0</v>
      </c>
      <c r="C633">
        <f t="shared" si="32"/>
        <v>1362</v>
      </c>
      <c r="D633">
        <f t="shared" si="33"/>
        <v>723</v>
      </c>
      <c r="E633" s="7">
        <f t="shared" si="31"/>
        <v>110.46607740086</v>
      </c>
    </row>
    <row r="634" spans="1:5" x14ac:dyDescent="0.2">
      <c r="A634">
        <v>633</v>
      </c>
      <c r="B634">
        <v>0</v>
      </c>
      <c r="C634">
        <f t="shared" si="32"/>
        <v>1363</v>
      </c>
      <c r="D634">
        <f t="shared" si="33"/>
        <v>724</v>
      </c>
      <c r="E634" s="7">
        <f t="shared" si="31"/>
        <v>110.61872909698995</v>
      </c>
    </row>
    <row r="635" spans="1:5" x14ac:dyDescent="0.2">
      <c r="A635">
        <v>634</v>
      </c>
      <c r="B635">
        <v>0</v>
      </c>
      <c r="C635">
        <f t="shared" si="32"/>
        <v>1364</v>
      </c>
      <c r="D635">
        <f t="shared" si="33"/>
        <v>725</v>
      </c>
      <c r="E635" s="7">
        <f t="shared" si="31"/>
        <v>110.77138079311992</v>
      </c>
    </row>
    <row r="636" spans="1:5" x14ac:dyDescent="0.2">
      <c r="A636">
        <v>635</v>
      </c>
      <c r="B636">
        <v>0</v>
      </c>
      <c r="C636">
        <f t="shared" si="32"/>
        <v>1365</v>
      </c>
      <c r="D636">
        <f t="shared" si="33"/>
        <v>726</v>
      </c>
      <c r="E636" s="7">
        <f t="shared" si="31"/>
        <v>110.92403248924987</v>
      </c>
    </row>
    <row r="637" spans="1:5" x14ac:dyDescent="0.2">
      <c r="A637">
        <v>636</v>
      </c>
      <c r="B637">
        <v>0</v>
      </c>
      <c r="C637">
        <f t="shared" si="32"/>
        <v>1366</v>
      </c>
      <c r="D637">
        <f t="shared" si="33"/>
        <v>727</v>
      </c>
      <c r="E637" s="7">
        <f t="shared" si="31"/>
        <v>111.07668418537983</v>
      </c>
    </row>
    <row r="638" spans="1:5" x14ac:dyDescent="0.2">
      <c r="A638">
        <v>637</v>
      </c>
      <c r="B638">
        <v>0</v>
      </c>
      <c r="C638">
        <f t="shared" si="32"/>
        <v>1367</v>
      </c>
      <c r="D638">
        <f t="shared" si="33"/>
        <v>728</v>
      </c>
      <c r="E638" s="7">
        <f t="shared" si="31"/>
        <v>111.22933588150978</v>
      </c>
    </row>
    <row r="639" spans="1:5" x14ac:dyDescent="0.2">
      <c r="A639">
        <v>638</v>
      </c>
      <c r="B639">
        <v>0</v>
      </c>
      <c r="C639">
        <f t="shared" si="32"/>
        <v>1368</v>
      </c>
      <c r="D639">
        <f t="shared" si="33"/>
        <v>729</v>
      </c>
      <c r="E639" s="7">
        <f t="shared" si="31"/>
        <v>111.38198757763975</v>
      </c>
    </row>
    <row r="640" spans="1:5" x14ac:dyDescent="0.2">
      <c r="A640">
        <v>639</v>
      </c>
      <c r="B640">
        <v>0</v>
      </c>
      <c r="C640">
        <f t="shared" si="32"/>
        <v>1369</v>
      </c>
      <c r="D640">
        <f t="shared" si="33"/>
        <v>730</v>
      </c>
      <c r="E640" s="7">
        <f t="shared" si="31"/>
        <v>111.5346392737697</v>
      </c>
    </row>
    <row r="641" spans="1:5" x14ac:dyDescent="0.2">
      <c r="A641" s="5">
        <v>640</v>
      </c>
      <c r="B641" s="5">
        <v>17</v>
      </c>
      <c r="C641">
        <f t="shared" si="32"/>
        <v>1370</v>
      </c>
      <c r="D641">
        <f t="shared" si="33"/>
        <v>731</v>
      </c>
      <c r="E641" s="7">
        <f t="shared" si="31"/>
        <v>111.68729096989966</v>
      </c>
    </row>
    <row r="642" spans="1:5" x14ac:dyDescent="0.2">
      <c r="A642" s="5">
        <v>641</v>
      </c>
      <c r="B642" s="5">
        <v>0</v>
      </c>
      <c r="C642">
        <f t="shared" si="32"/>
        <v>1371</v>
      </c>
      <c r="D642">
        <f t="shared" si="33"/>
        <v>732</v>
      </c>
      <c r="E642" s="7">
        <f t="shared" si="31"/>
        <v>111.83994266602961</v>
      </c>
    </row>
    <row r="643" spans="1:5" x14ac:dyDescent="0.2">
      <c r="A643" s="5">
        <v>642</v>
      </c>
      <c r="B643" s="5">
        <v>0</v>
      </c>
      <c r="C643">
        <f t="shared" si="32"/>
        <v>1372</v>
      </c>
      <c r="D643">
        <f t="shared" si="33"/>
        <v>733</v>
      </c>
      <c r="E643" s="7">
        <f t="shared" ref="E643:E706" si="34">$I$16*D643+$I$17</f>
        <v>111.99259436215956</v>
      </c>
    </row>
    <row r="644" spans="1:5" x14ac:dyDescent="0.2">
      <c r="A644" s="5">
        <v>643</v>
      </c>
      <c r="B644" s="5">
        <v>0</v>
      </c>
      <c r="C644">
        <f t="shared" si="32"/>
        <v>1373</v>
      </c>
      <c r="D644">
        <f t="shared" si="33"/>
        <v>734</v>
      </c>
      <c r="E644" s="7">
        <f t="shared" si="34"/>
        <v>112.14524605828953</v>
      </c>
    </row>
    <row r="645" spans="1:5" x14ac:dyDescent="0.2">
      <c r="A645" s="5">
        <v>644</v>
      </c>
      <c r="B645" s="5">
        <v>6</v>
      </c>
      <c r="C645">
        <f t="shared" si="32"/>
        <v>1374</v>
      </c>
      <c r="D645">
        <f t="shared" si="33"/>
        <v>735</v>
      </c>
      <c r="E645" s="7">
        <f t="shared" si="34"/>
        <v>112.29789775441948</v>
      </c>
    </row>
    <row r="646" spans="1:5" x14ac:dyDescent="0.2">
      <c r="A646" s="5">
        <v>645</v>
      </c>
      <c r="B646" s="5">
        <v>0</v>
      </c>
      <c r="C646">
        <f t="shared" si="32"/>
        <v>1375</v>
      </c>
      <c r="D646">
        <f t="shared" si="33"/>
        <v>736</v>
      </c>
      <c r="E646" s="7">
        <f t="shared" si="34"/>
        <v>112.45054945054945</v>
      </c>
    </row>
    <row r="647" spans="1:5" x14ac:dyDescent="0.2">
      <c r="A647" s="5">
        <v>646</v>
      </c>
      <c r="B647" s="5">
        <v>0</v>
      </c>
      <c r="C647">
        <f t="shared" si="32"/>
        <v>1376</v>
      </c>
      <c r="D647">
        <f t="shared" si="33"/>
        <v>737</v>
      </c>
      <c r="E647" s="7">
        <f t="shared" si="34"/>
        <v>112.6032011466794</v>
      </c>
    </row>
    <row r="648" spans="1:5" x14ac:dyDescent="0.2">
      <c r="A648" s="5">
        <v>647</v>
      </c>
      <c r="B648" s="5">
        <v>0</v>
      </c>
      <c r="C648">
        <f t="shared" si="32"/>
        <v>1377</v>
      </c>
      <c r="D648">
        <f t="shared" si="33"/>
        <v>738</v>
      </c>
      <c r="E648" s="7">
        <f t="shared" si="34"/>
        <v>112.75585284280936</v>
      </c>
    </row>
    <row r="649" spans="1:5" x14ac:dyDescent="0.2">
      <c r="A649" s="5">
        <v>648</v>
      </c>
      <c r="B649" s="5">
        <v>0</v>
      </c>
      <c r="C649">
        <f t="shared" si="32"/>
        <v>1378</v>
      </c>
      <c r="D649">
        <f t="shared" si="33"/>
        <v>739</v>
      </c>
      <c r="E649" s="7">
        <f t="shared" si="34"/>
        <v>112.90850453893931</v>
      </c>
    </row>
    <row r="650" spans="1:5" x14ac:dyDescent="0.2">
      <c r="A650" s="5">
        <v>649</v>
      </c>
      <c r="B650" s="5">
        <v>0</v>
      </c>
      <c r="C650">
        <f t="shared" si="32"/>
        <v>1379</v>
      </c>
      <c r="D650">
        <f t="shared" si="33"/>
        <v>740</v>
      </c>
      <c r="E650" s="7">
        <f t="shared" si="34"/>
        <v>113.06115623506928</v>
      </c>
    </row>
    <row r="651" spans="1:5" x14ac:dyDescent="0.2">
      <c r="A651" s="5">
        <v>650</v>
      </c>
      <c r="B651" s="5">
        <v>0</v>
      </c>
      <c r="C651">
        <f t="shared" si="32"/>
        <v>1380</v>
      </c>
      <c r="D651">
        <f t="shared" si="33"/>
        <v>741</v>
      </c>
      <c r="E651" s="7">
        <f t="shared" si="34"/>
        <v>113.21380793119923</v>
      </c>
    </row>
    <row r="652" spans="1:5" x14ac:dyDescent="0.2">
      <c r="A652" s="5">
        <v>651</v>
      </c>
      <c r="B652" s="5">
        <v>0</v>
      </c>
      <c r="C652">
        <f t="shared" si="32"/>
        <v>1381</v>
      </c>
      <c r="D652">
        <f t="shared" si="33"/>
        <v>742</v>
      </c>
      <c r="E652" s="7">
        <f t="shared" si="34"/>
        <v>113.36645962732918</v>
      </c>
    </row>
    <row r="653" spans="1:5" x14ac:dyDescent="0.2">
      <c r="A653" s="5">
        <v>652</v>
      </c>
      <c r="B653" s="5">
        <v>0</v>
      </c>
      <c r="C653">
        <f t="shared" si="32"/>
        <v>1382</v>
      </c>
      <c r="D653">
        <f t="shared" si="33"/>
        <v>743</v>
      </c>
      <c r="E653" s="7">
        <f t="shared" si="34"/>
        <v>113.51911132345914</v>
      </c>
    </row>
    <row r="654" spans="1:5" x14ac:dyDescent="0.2">
      <c r="A654" s="5">
        <v>653</v>
      </c>
      <c r="B654" s="5">
        <v>0</v>
      </c>
      <c r="C654">
        <f t="shared" si="32"/>
        <v>1383</v>
      </c>
      <c r="D654">
        <f t="shared" si="33"/>
        <v>744</v>
      </c>
      <c r="E654" s="7">
        <f t="shared" si="34"/>
        <v>113.67176301958909</v>
      </c>
    </row>
    <row r="655" spans="1:5" x14ac:dyDescent="0.2">
      <c r="A655" s="5">
        <v>654</v>
      </c>
      <c r="B655" s="5">
        <v>0</v>
      </c>
      <c r="C655">
        <f t="shared" si="32"/>
        <v>1384</v>
      </c>
      <c r="D655">
        <f t="shared" si="33"/>
        <v>745</v>
      </c>
      <c r="E655" s="7">
        <f t="shared" si="34"/>
        <v>113.82441471571906</v>
      </c>
    </row>
    <row r="656" spans="1:5" x14ac:dyDescent="0.2">
      <c r="A656" s="5">
        <v>655</v>
      </c>
      <c r="B656" s="5">
        <v>0</v>
      </c>
      <c r="C656">
        <f t="shared" si="32"/>
        <v>1385</v>
      </c>
      <c r="D656">
        <f t="shared" si="33"/>
        <v>746</v>
      </c>
      <c r="E656" s="7">
        <f t="shared" si="34"/>
        <v>113.97706641184901</v>
      </c>
    </row>
    <row r="657" spans="1:5" x14ac:dyDescent="0.2">
      <c r="A657" s="5">
        <v>656</v>
      </c>
      <c r="B657" s="5">
        <v>0</v>
      </c>
      <c r="C657">
        <f t="shared" si="32"/>
        <v>1386</v>
      </c>
      <c r="D657">
        <f t="shared" si="33"/>
        <v>747</v>
      </c>
      <c r="E657" s="7">
        <f t="shared" si="34"/>
        <v>114.12971810797897</v>
      </c>
    </row>
    <row r="658" spans="1:5" x14ac:dyDescent="0.2">
      <c r="A658" s="5">
        <v>657</v>
      </c>
      <c r="B658" s="5">
        <v>0</v>
      </c>
      <c r="C658">
        <f t="shared" si="32"/>
        <v>1387</v>
      </c>
      <c r="D658">
        <f t="shared" si="33"/>
        <v>748</v>
      </c>
      <c r="E658" s="7">
        <f t="shared" si="34"/>
        <v>114.28236980410892</v>
      </c>
    </row>
    <row r="659" spans="1:5" x14ac:dyDescent="0.2">
      <c r="A659" s="5">
        <v>658</v>
      </c>
      <c r="B659" s="5">
        <v>0</v>
      </c>
      <c r="C659">
        <f t="shared" si="32"/>
        <v>1388</v>
      </c>
      <c r="D659">
        <f t="shared" si="33"/>
        <v>749</v>
      </c>
      <c r="E659" s="7">
        <f t="shared" si="34"/>
        <v>114.43502150023889</v>
      </c>
    </row>
    <row r="660" spans="1:5" x14ac:dyDescent="0.2">
      <c r="A660" s="5">
        <v>659</v>
      </c>
      <c r="B660" s="5">
        <v>4</v>
      </c>
      <c r="C660">
        <f t="shared" si="32"/>
        <v>1389</v>
      </c>
      <c r="D660">
        <f t="shared" si="33"/>
        <v>750</v>
      </c>
      <c r="E660" s="7">
        <f t="shared" si="34"/>
        <v>114.58767319636884</v>
      </c>
    </row>
    <row r="661" spans="1:5" x14ac:dyDescent="0.2">
      <c r="A661" s="5">
        <v>660</v>
      </c>
      <c r="B661" s="5">
        <v>0</v>
      </c>
      <c r="C661">
        <f t="shared" si="32"/>
        <v>1390</v>
      </c>
      <c r="D661">
        <f t="shared" si="33"/>
        <v>751</v>
      </c>
      <c r="E661" s="7">
        <f t="shared" si="34"/>
        <v>114.74032489249879</v>
      </c>
    </row>
    <row r="662" spans="1:5" x14ac:dyDescent="0.2">
      <c r="A662" s="5">
        <v>661</v>
      </c>
      <c r="B662" s="5">
        <v>0</v>
      </c>
      <c r="C662">
        <f t="shared" si="32"/>
        <v>1391</v>
      </c>
      <c r="D662">
        <f t="shared" si="33"/>
        <v>752</v>
      </c>
      <c r="E662" s="7">
        <f t="shared" si="34"/>
        <v>114.89297658862876</v>
      </c>
    </row>
    <row r="663" spans="1:5" x14ac:dyDescent="0.2">
      <c r="A663" s="5">
        <v>662</v>
      </c>
      <c r="B663" s="5">
        <v>14</v>
      </c>
      <c r="C663">
        <f t="shared" si="32"/>
        <v>1392</v>
      </c>
      <c r="D663">
        <f t="shared" si="33"/>
        <v>753</v>
      </c>
      <c r="E663" s="7">
        <f t="shared" si="34"/>
        <v>115.04562828475871</v>
      </c>
    </row>
    <row r="664" spans="1:5" x14ac:dyDescent="0.2">
      <c r="A664" s="5">
        <v>663</v>
      </c>
      <c r="B664" s="5">
        <v>0</v>
      </c>
      <c r="C664">
        <f t="shared" si="32"/>
        <v>1393</v>
      </c>
      <c r="D664">
        <f t="shared" si="33"/>
        <v>754</v>
      </c>
      <c r="E664" s="7">
        <f t="shared" si="34"/>
        <v>115.19827998088867</v>
      </c>
    </row>
    <row r="665" spans="1:5" x14ac:dyDescent="0.2">
      <c r="A665" s="5">
        <v>664</v>
      </c>
      <c r="B665" s="5">
        <v>5</v>
      </c>
      <c r="C665">
        <f t="shared" si="32"/>
        <v>1394</v>
      </c>
      <c r="D665">
        <f t="shared" si="33"/>
        <v>755</v>
      </c>
      <c r="E665" s="7">
        <f t="shared" si="34"/>
        <v>115.35093167701862</v>
      </c>
    </row>
    <row r="666" spans="1:5" x14ac:dyDescent="0.2">
      <c r="A666" s="5">
        <v>665</v>
      </c>
      <c r="B666" s="5">
        <v>0</v>
      </c>
      <c r="C666">
        <f t="shared" si="32"/>
        <v>1395</v>
      </c>
      <c r="D666">
        <f t="shared" si="33"/>
        <v>756</v>
      </c>
      <c r="E666" s="7">
        <f t="shared" si="34"/>
        <v>115.50358337314859</v>
      </c>
    </row>
    <row r="667" spans="1:5" x14ac:dyDescent="0.2">
      <c r="A667" s="5">
        <v>666</v>
      </c>
      <c r="B667" s="5">
        <v>0</v>
      </c>
      <c r="C667">
        <f t="shared" si="32"/>
        <v>1396</v>
      </c>
      <c r="D667">
        <f t="shared" si="33"/>
        <v>757</v>
      </c>
      <c r="E667" s="7">
        <f t="shared" si="34"/>
        <v>115.65623506927854</v>
      </c>
    </row>
    <row r="668" spans="1:5" x14ac:dyDescent="0.2">
      <c r="A668" s="5">
        <v>667</v>
      </c>
      <c r="B668" s="5">
        <v>2</v>
      </c>
      <c r="C668">
        <f t="shared" si="32"/>
        <v>1397</v>
      </c>
      <c r="D668">
        <f t="shared" si="33"/>
        <v>758</v>
      </c>
      <c r="E668" s="7">
        <f t="shared" si="34"/>
        <v>115.8088867654085</v>
      </c>
    </row>
    <row r="669" spans="1:5" x14ac:dyDescent="0.2">
      <c r="A669" s="5">
        <v>668</v>
      </c>
      <c r="B669" s="5">
        <v>0</v>
      </c>
      <c r="C669">
        <f t="shared" si="32"/>
        <v>1398</v>
      </c>
      <c r="D669">
        <f t="shared" si="33"/>
        <v>759</v>
      </c>
      <c r="E669" s="7">
        <f t="shared" si="34"/>
        <v>115.96153846153845</v>
      </c>
    </row>
    <row r="670" spans="1:5" x14ac:dyDescent="0.2">
      <c r="A670" s="5">
        <v>669</v>
      </c>
      <c r="B670" s="5">
        <v>5</v>
      </c>
      <c r="C670">
        <f t="shared" si="32"/>
        <v>1399</v>
      </c>
      <c r="D670">
        <f t="shared" si="33"/>
        <v>760</v>
      </c>
      <c r="E670" s="7">
        <f t="shared" si="34"/>
        <v>116.1141901576684</v>
      </c>
    </row>
    <row r="671" spans="1:5" x14ac:dyDescent="0.2">
      <c r="A671" s="5">
        <v>670</v>
      </c>
      <c r="B671" s="5">
        <v>6</v>
      </c>
      <c r="C671">
        <f t="shared" si="32"/>
        <v>1400</v>
      </c>
      <c r="D671">
        <f t="shared" si="33"/>
        <v>761</v>
      </c>
      <c r="E671" s="7">
        <f t="shared" si="34"/>
        <v>116.26684185379837</v>
      </c>
    </row>
    <row r="672" spans="1:5" x14ac:dyDescent="0.2">
      <c r="A672" s="5">
        <v>671</v>
      </c>
      <c r="B672" s="5">
        <v>0</v>
      </c>
      <c r="C672">
        <f t="shared" si="32"/>
        <v>1401</v>
      </c>
      <c r="D672">
        <f t="shared" si="33"/>
        <v>762</v>
      </c>
      <c r="E672" s="7">
        <f t="shared" si="34"/>
        <v>116.41949354992832</v>
      </c>
    </row>
    <row r="673" spans="1:5" x14ac:dyDescent="0.2">
      <c r="A673" s="5">
        <v>672</v>
      </c>
      <c r="B673" s="5">
        <v>41</v>
      </c>
      <c r="C673">
        <f t="shared" si="32"/>
        <v>1402</v>
      </c>
      <c r="D673">
        <f t="shared" si="33"/>
        <v>763</v>
      </c>
      <c r="E673" s="7">
        <f t="shared" si="34"/>
        <v>116.57214524605828</v>
      </c>
    </row>
    <row r="674" spans="1:5" x14ac:dyDescent="0.2">
      <c r="A674" s="5">
        <v>673</v>
      </c>
      <c r="B674" s="5">
        <v>0</v>
      </c>
      <c r="C674">
        <f t="shared" si="32"/>
        <v>1403</v>
      </c>
      <c r="D674">
        <f t="shared" si="33"/>
        <v>764</v>
      </c>
      <c r="E674" s="7">
        <f t="shared" si="34"/>
        <v>116.72479694218823</v>
      </c>
    </row>
    <row r="675" spans="1:5" x14ac:dyDescent="0.2">
      <c r="A675" s="5">
        <v>674</v>
      </c>
      <c r="B675" s="5">
        <v>3</v>
      </c>
      <c r="C675">
        <f t="shared" si="32"/>
        <v>1404</v>
      </c>
      <c r="D675">
        <f t="shared" si="33"/>
        <v>765</v>
      </c>
      <c r="E675" s="7">
        <f t="shared" si="34"/>
        <v>116.8774486383182</v>
      </c>
    </row>
    <row r="676" spans="1:5" x14ac:dyDescent="0.2">
      <c r="A676" s="5">
        <v>675</v>
      </c>
      <c r="B676" s="5">
        <v>3</v>
      </c>
      <c r="C676">
        <f t="shared" si="32"/>
        <v>1405</v>
      </c>
      <c r="D676">
        <f t="shared" si="33"/>
        <v>766</v>
      </c>
      <c r="E676" s="7">
        <f t="shared" si="34"/>
        <v>117.03010033444815</v>
      </c>
    </row>
    <row r="677" spans="1:5" x14ac:dyDescent="0.2">
      <c r="A677" s="5">
        <v>676</v>
      </c>
      <c r="B677" s="5">
        <v>0</v>
      </c>
      <c r="C677">
        <f t="shared" si="32"/>
        <v>1406</v>
      </c>
      <c r="D677">
        <f t="shared" si="33"/>
        <v>767</v>
      </c>
      <c r="E677" s="7">
        <f t="shared" si="34"/>
        <v>117.18275203057811</v>
      </c>
    </row>
    <row r="678" spans="1:5" x14ac:dyDescent="0.2">
      <c r="A678" s="5">
        <v>677</v>
      </c>
      <c r="B678" s="5">
        <v>4</v>
      </c>
      <c r="C678">
        <f t="shared" si="32"/>
        <v>1407</v>
      </c>
      <c r="D678">
        <f t="shared" si="33"/>
        <v>768</v>
      </c>
      <c r="E678" s="7">
        <f t="shared" si="34"/>
        <v>117.33540372670807</v>
      </c>
    </row>
    <row r="679" spans="1:5" x14ac:dyDescent="0.2">
      <c r="A679" s="5">
        <v>678</v>
      </c>
      <c r="B679" s="5">
        <v>15</v>
      </c>
      <c r="C679">
        <f t="shared" si="32"/>
        <v>1408</v>
      </c>
      <c r="D679">
        <f t="shared" si="33"/>
        <v>769</v>
      </c>
      <c r="E679" s="7">
        <f t="shared" si="34"/>
        <v>117.48805542283802</v>
      </c>
    </row>
    <row r="680" spans="1:5" x14ac:dyDescent="0.2">
      <c r="A680" s="5">
        <v>679</v>
      </c>
      <c r="B680" s="5">
        <v>0</v>
      </c>
      <c r="C680">
        <f t="shared" si="32"/>
        <v>1409</v>
      </c>
      <c r="D680">
        <f t="shared" si="33"/>
        <v>770</v>
      </c>
      <c r="E680" s="7">
        <f t="shared" si="34"/>
        <v>117.64070711896798</v>
      </c>
    </row>
    <row r="681" spans="1:5" x14ac:dyDescent="0.2">
      <c r="A681" s="5">
        <v>680</v>
      </c>
      <c r="B681" s="5">
        <v>5</v>
      </c>
      <c r="C681">
        <f t="shared" si="32"/>
        <v>1410</v>
      </c>
      <c r="D681">
        <f t="shared" si="33"/>
        <v>771</v>
      </c>
      <c r="E681" s="7">
        <f t="shared" si="34"/>
        <v>117.79335881509793</v>
      </c>
    </row>
    <row r="682" spans="1:5" x14ac:dyDescent="0.2">
      <c r="A682" s="5">
        <v>681</v>
      </c>
      <c r="B682" s="5">
        <v>6</v>
      </c>
      <c r="C682">
        <f t="shared" si="32"/>
        <v>1411</v>
      </c>
      <c r="D682">
        <f t="shared" si="33"/>
        <v>772</v>
      </c>
      <c r="E682" s="7">
        <f t="shared" si="34"/>
        <v>117.9460105112279</v>
      </c>
    </row>
    <row r="683" spans="1:5" x14ac:dyDescent="0.2">
      <c r="A683" s="5">
        <v>682</v>
      </c>
      <c r="B683" s="5">
        <v>8</v>
      </c>
      <c r="C683">
        <f t="shared" si="32"/>
        <v>1412</v>
      </c>
      <c r="D683">
        <f t="shared" si="33"/>
        <v>773</v>
      </c>
      <c r="E683" s="7">
        <f t="shared" si="34"/>
        <v>118.09866220735785</v>
      </c>
    </row>
    <row r="684" spans="1:5" x14ac:dyDescent="0.2">
      <c r="A684" s="5">
        <v>683</v>
      </c>
      <c r="B684" s="5">
        <v>31</v>
      </c>
      <c r="C684">
        <f t="shared" si="32"/>
        <v>1413</v>
      </c>
      <c r="D684">
        <f t="shared" si="33"/>
        <v>774</v>
      </c>
      <c r="E684" s="7">
        <f t="shared" si="34"/>
        <v>118.25131390348781</v>
      </c>
    </row>
    <row r="685" spans="1:5" x14ac:dyDescent="0.2">
      <c r="A685" s="5">
        <v>684</v>
      </c>
      <c r="B685" s="5">
        <v>0</v>
      </c>
      <c r="C685">
        <f t="shared" si="32"/>
        <v>1414</v>
      </c>
      <c r="D685">
        <f t="shared" si="33"/>
        <v>775</v>
      </c>
      <c r="E685" s="7">
        <f t="shared" si="34"/>
        <v>118.40396559961776</v>
      </c>
    </row>
    <row r="686" spans="1:5" x14ac:dyDescent="0.2">
      <c r="A686" s="5">
        <v>685</v>
      </c>
      <c r="B686" s="5">
        <v>6</v>
      </c>
      <c r="C686">
        <f t="shared" si="32"/>
        <v>1415</v>
      </c>
      <c r="D686">
        <f t="shared" si="33"/>
        <v>776</v>
      </c>
      <c r="E686" s="7">
        <f t="shared" si="34"/>
        <v>118.55661729574773</v>
      </c>
    </row>
    <row r="687" spans="1:5" x14ac:dyDescent="0.2">
      <c r="A687" s="5">
        <v>686</v>
      </c>
      <c r="B687" s="5">
        <v>8</v>
      </c>
      <c r="C687">
        <f t="shared" ref="C687:C731" si="35">A687+730</f>
        <v>1416</v>
      </c>
      <c r="D687">
        <f t="shared" ref="D687:D731" si="36">C687-640+1</f>
        <v>777</v>
      </c>
      <c r="E687" s="7">
        <f t="shared" si="34"/>
        <v>118.70926899187768</v>
      </c>
    </row>
    <row r="688" spans="1:5" x14ac:dyDescent="0.2">
      <c r="A688" s="5">
        <v>687</v>
      </c>
      <c r="B688" s="5">
        <v>1</v>
      </c>
      <c r="C688">
        <f t="shared" si="35"/>
        <v>1417</v>
      </c>
      <c r="D688">
        <f t="shared" si="36"/>
        <v>778</v>
      </c>
      <c r="E688" s="7">
        <f t="shared" si="34"/>
        <v>118.86192068800763</v>
      </c>
    </row>
    <row r="689" spans="1:6" x14ac:dyDescent="0.2">
      <c r="A689" s="5">
        <v>688</v>
      </c>
      <c r="B689" s="5">
        <v>10</v>
      </c>
      <c r="C689">
        <f t="shared" si="35"/>
        <v>1418</v>
      </c>
      <c r="D689">
        <f t="shared" si="36"/>
        <v>779</v>
      </c>
      <c r="E689" s="7">
        <f t="shared" si="34"/>
        <v>119.01457238413759</v>
      </c>
    </row>
    <row r="690" spans="1:6" x14ac:dyDescent="0.2">
      <c r="A690" s="5">
        <v>689</v>
      </c>
      <c r="B690" s="5">
        <v>2</v>
      </c>
      <c r="C690">
        <f t="shared" si="35"/>
        <v>1419</v>
      </c>
      <c r="D690">
        <f t="shared" si="36"/>
        <v>780</v>
      </c>
      <c r="E690" s="7">
        <f t="shared" si="34"/>
        <v>119.16722408026754</v>
      </c>
    </row>
    <row r="691" spans="1:6" x14ac:dyDescent="0.2">
      <c r="A691" s="5">
        <v>690</v>
      </c>
      <c r="B691" s="5">
        <v>5</v>
      </c>
      <c r="C691">
        <f t="shared" si="35"/>
        <v>1420</v>
      </c>
      <c r="D691">
        <f t="shared" si="36"/>
        <v>781</v>
      </c>
      <c r="E691" s="7">
        <f t="shared" si="34"/>
        <v>119.31987577639751</v>
      </c>
    </row>
    <row r="692" spans="1:6" x14ac:dyDescent="0.2">
      <c r="A692" s="5">
        <v>691</v>
      </c>
      <c r="B692" s="5">
        <v>16</v>
      </c>
      <c r="C692">
        <f t="shared" si="35"/>
        <v>1421</v>
      </c>
      <c r="D692">
        <f t="shared" si="36"/>
        <v>782</v>
      </c>
      <c r="E692" s="7">
        <f t="shared" si="34"/>
        <v>119.47252747252746</v>
      </c>
    </row>
    <row r="693" spans="1:6" x14ac:dyDescent="0.2">
      <c r="A693" s="5">
        <v>692</v>
      </c>
      <c r="B693" s="5">
        <v>15</v>
      </c>
      <c r="C693">
        <f t="shared" si="35"/>
        <v>1422</v>
      </c>
      <c r="D693">
        <f t="shared" si="36"/>
        <v>783</v>
      </c>
      <c r="E693" s="7">
        <f t="shared" si="34"/>
        <v>119.62517916865743</v>
      </c>
    </row>
    <row r="694" spans="1:6" x14ac:dyDescent="0.2">
      <c r="A694" s="5">
        <v>693</v>
      </c>
      <c r="B694" s="5">
        <v>12</v>
      </c>
      <c r="C694">
        <f t="shared" si="35"/>
        <v>1423</v>
      </c>
      <c r="D694">
        <f t="shared" si="36"/>
        <v>784</v>
      </c>
      <c r="E694" s="7">
        <f t="shared" si="34"/>
        <v>119.77783086478738</v>
      </c>
    </row>
    <row r="695" spans="1:6" x14ac:dyDescent="0.2">
      <c r="A695" s="5">
        <v>694</v>
      </c>
      <c r="B695" s="5">
        <v>7</v>
      </c>
      <c r="C695">
        <f t="shared" si="35"/>
        <v>1424</v>
      </c>
      <c r="D695">
        <f t="shared" si="36"/>
        <v>785</v>
      </c>
      <c r="E695" s="7">
        <f t="shared" si="34"/>
        <v>119.93048256091734</v>
      </c>
    </row>
    <row r="696" spans="1:6" x14ac:dyDescent="0.2">
      <c r="A696" s="5">
        <v>695</v>
      </c>
      <c r="B696" s="5">
        <v>11</v>
      </c>
      <c r="C696">
        <f t="shared" si="35"/>
        <v>1425</v>
      </c>
      <c r="D696">
        <f t="shared" si="36"/>
        <v>786</v>
      </c>
      <c r="E696" s="7">
        <f t="shared" si="34"/>
        <v>120.08313425704729</v>
      </c>
    </row>
    <row r="697" spans="1:6" x14ac:dyDescent="0.2">
      <c r="A697" s="5">
        <v>696</v>
      </c>
      <c r="B697" s="5">
        <v>3</v>
      </c>
      <c r="C697">
        <f t="shared" si="35"/>
        <v>1426</v>
      </c>
      <c r="D697">
        <f t="shared" si="36"/>
        <v>787</v>
      </c>
      <c r="E697" s="7">
        <f t="shared" si="34"/>
        <v>120.23578595317724</v>
      </c>
    </row>
    <row r="698" spans="1:6" x14ac:dyDescent="0.2">
      <c r="A698" s="5">
        <v>697</v>
      </c>
      <c r="B698" s="5">
        <v>16</v>
      </c>
      <c r="C698">
        <f t="shared" si="35"/>
        <v>1427</v>
      </c>
      <c r="D698">
        <f t="shared" si="36"/>
        <v>788</v>
      </c>
      <c r="E698" s="7">
        <f t="shared" si="34"/>
        <v>120.38843764930721</v>
      </c>
    </row>
    <row r="699" spans="1:6" x14ac:dyDescent="0.2">
      <c r="A699" s="5">
        <v>698</v>
      </c>
      <c r="B699" s="5">
        <v>4</v>
      </c>
      <c r="C699">
        <f t="shared" si="35"/>
        <v>1428</v>
      </c>
      <c r="D699">
        <f t="shared" si="36"/>
        <v>789</v>
      </c>
      <c r="E699" s="7">
        <f t="shared" si="34"/>
        <v>120.54108934543716</v>
      </c>
    </row>
    <row r="700" spans="1:6" x14ac:dyDescent="0.2">
      <c r="A700" s="5">
        <v>699</v>
      </c>
      <c r="B700" s="5">
        <v>8</v>
      </c>
      <c r="C700">
        <f t="shared" si="35"/>
        <v>1429</v>
      </c>
      <c r="D700">
        <f t="shared" si="36"/>
        <v>790</v>
      </c>
      <c r="E700" s="7">
        <f t="shared" si="34"/>
        <v>120.69374104156712</v>
      </c>
    </row>
    <row r="701" spans="1:6" x14ac:dyDescent="0.2">
      <c r="A701" s="5">
        <v>700</v>
      </c>
      <c r="B701" s="5">
        <v>18</v>
      </c>
      <c r="C701" s="6">
        <f t="shared" si="35"/>
        <v>1430</v>
      </c>
      <c r="D701" s="6">
        <f t="shared" si="36"/>
        <v>791</v>
      </c>
      <c r="E701" s="8">
        <f t="shared" si="34"/>
        <v>120.84639273769707</v>
      </c>
      <c r="F701" s="8">
        <f t="shared" ref="F701:F731" si="37">E701*(1460-C701)/30</f>
        <v>120.84639273769707</v>
      </c>
    </row>
    <row r="702" spans="1:6" x14ac:dyDescent="0.2">
      <c r="A702" s="5">
        <v>701</v>
      </c>
      <c r="B702" s="5">
        <v>2</v>
      </c>
      <c r="C702" s="6">
        <f t="shared" si="35"/>
        <v>1431</v>
      </c>
      <c r="D702" s="6">
        <f t="shared" si="36"/>
        <v>792</v>
      </c>
      <c r="E702" s="8">
        <f t="shared" si="34"/>
        <v>120.99904443382704</v>
      </c>
      <c r="F702" s="8">
        <f t="shared" si="37"/>
        <v>116.96574295269947</v>
      </c>
    </row>
    <row r="703" spans="1:6" x14ac:dyDescent="0.2">
      <c r="A703" s="5">
        <v>702</v>
      </c>
      <c r="B703" s="5">
        <v>11</v>
      </c>
      <c r="C703" s="6">
        <f t="shared" si="35"/>
        <v>1432</v>
      </c>
      <c r="D703" s="6">
        <f t="shared" si="36"/>
        <v>793</v>
      </c>
      <c r="E703" s="8">
        <f t="shared" si="34"/>
        <v>121.15169612995699</v>
      </c>
      <c r="F703" s="8">
        <f t="shared" si="37"/>
        <v>113.07491638795985</v>
      </c>
    </row>
    <row r="704" spans="1:6" x14ac:dyDescent="0.2">
      <c r="A704" s="5">
        <v>703</v>
      </c>
      <c r="B704" s="5">
        <v>3</v>
      </c>
      <c r="C704" s="6">
        <f t="shared" si="35"/>
        <v>1433</v>
      </c>
      <c r="D704" s="6">
        <f t="shared" si="36"/>
        <v>794</v>
      </c>
      <c r="E704" s="8">
        <f t="shared" si="34"/>
        <v>121.30434782608695</v>
      </c>
      <c r="F704" s="8">
        <f t="shared" si="37"/>
        <v>109.17391304347825</v>
      </c>
    </row>
    <row r="705" spans="1:6" x14ac:dyDescent="0.2">
      <c r="A705" s="5">
        <v>704</v>
      </c>
      <c r="B705" s="5">
        <v>4</v>
      </c>
      <c r="C705" s="6">
        <f t="shared" si="35"/>
        <v>1434</v>
      </c>
      <c r="D705" s="6">
        <f t="shared" si="36"/>
        <v>795</v>
      </c>
      <c r="E705" s="8">
        <f t="shared" si="34"/>
        <v>121.4569995222169</v>
      </c>
      <c r="F705" s="8">
        <f t="shared" si="37"/>
        <v>105.26273291925465</v>
      </c>
    </row>
    <row r="706" spans="1:6" x14ac:dyDescent="0.2">
      <c r="A706" s="5">
        <v>705</v>
      </c>
      <c r="B706" s="5">
        <v>10</v>
      </c>
      <c r="C706" s="6">
        <f t="shared" si="35"/>
        <v>1435</v>
      </c>
      <c r="D706" s="6">
        <f t="shared" si="36"/>
        <v>796</v>
      </c>
      <c r="E706" s="8">
        <f t="shared" si="34"/>
        <v>121.60965121834685</v>
      </c>
      <c r="F706" s="8">
        <f t="shared" si="37"/>
        <v>101.34137601528906</v>
      </c>
    </row>
    <row r="707" spans="1:6" x14ac:dyDescent="0.2">
      <c r="A707" s="5">
        <v>706</v>
      </c>
      <c r="B707" s="5">
        <v>20</v>
      </c>
      <c r="C707" s="6">
        <f t="shared" si="35"/>
        <v>1436</v>
      </c>
      <c r="D707" s="6">
        <f t="shared" si="36"/>
        <v>797</v>
      </c>
      <c r="E707" s="8">
        <f t="shared" ref="E707:E731" si="38">$I$16*D707+$I$17</f>
        <v>121.76230291447682</v>
      </c>
      <c r="F707" s="8">
        <f t="shared" si="37"/>
        <v>97.409842331581459</v>
      </c>
    </row>
    <row r="708" spans="1:6" x14ac:dyDescent="0.2">
      <c r="A708" s="5">
        <v>707</v>
      </c>
      <c r="B708" s="5">
        <v>2</v>
      </c>
      <c r="C708" s="6">
        <f t="shared" si="35"/>
        <v>1437</v>
      </c>
      <c r="D708" s="6">
        <f t="shared" si="36"/>
        <v>798</v>
      </c>
      <c r="E708" s="8">
        <f t="shared" si="38"/>
        <v>121.91495461060677</v>
      </c>
      <c r="F708" s="8">
        <f t="shared" si="37"/>
        <v>93.468131868131863</v>
      </c>
    </row>
    <row r="709" spans="1:6" x14ac:dyDescent="0.2">
      <c r="A709" s="5">
        <v>708</v>
      </c>
      <c r="B709" s="5">
        <v>5</v>
      </c>
      <c r="C709" s="6">
        <f t="shared" si="35"/>
        <v>1438</v>
      </c>
      <c r="D709" s="6">
        <f t="shared" si="36"/>
        <v>799</v>
      </c>
      <c r="E709" s="8">
        <f t="shared" si="38"/>
        <v>122.06760630673674</v>
      </c>
      <c r="F709" s="8">
        <f t="shared" si="37"/>
        <v>89.516244624940271</v>
      </c>
    </row>
    <row r="710" spans="1:6" x14ac:dyDescent="0.2">
      <c r="A710" s="5">
        <v>709</v>
      </c>
      <c r="B710" s="5">
        <v>4</v>
      </c>
      <c r="C710" s="6">
        <f t="shared" si="35"/>
        <v>1439</v>
      </c>
      <c r="D710" s="6">
        <f t="shared" si="36"/>
        <v>800</v>
      </c>
      <c r="E710" s="8">
        <f t="shared" si="38"/>
        <v>122.22025800286669</v>
      </c>
      <c r="F710" s="8">
        <f t="shared" si="37"/>
        <v>85.554180602006682</v>
      </c>
    </row>
    <row r="711" spans="1:6" x14ac:dyDescent="0.2">
      <c r="A711" s="5">
        <v>710</v>
      </c>
      <c r="B711" s="5">
        <v>29</v>
      </c>
      <c r="C711" s="6">
        <f t="shared" si="35"/>
        <v>1440</v>
      </c>
      <c r="D711" s="6">
        <f t="shared" si="36"/>
        <v>801</v>
      </c>
      <c r="E711" s="8">
        <f t="shared" si="38"/>
        <v>122.37290969899665</v>
      </c>
      <c r="F711" s="8">
        <f t="shared" si="37"/>
        <v>81.58193979933111</v>
      </c>
    </row>
    <row r="712" spans="1:6" x14ac:dyDescent="0.2">
      <c r="A712" s="5">
        <v>711</v>
      </c>
      <c r="B712" s="5">
        <v>2</v>
      </c>
      <c r="C712" s="6">
        <f t="shared" si="35"/>
        <v>1441</v>
      </c>
      <c r="D712" s="6">
        <f t="shared" si="36"/>
        <v>802</v>
      </c>
      <c r="E712" s="8">
        <f t="shared" si="38"/>
        <v>122.5255613951266</v>
      </c>
      <c r="F712" s="8">
        <f t="shared" si="37"/>
        <v>77.599522216913513</v>
      </c>
    </row>
    <row r="713" spans="1:6" x14ac:dyDescent="0.2">
      <c r="A713" s="5">
        <v>712</v>
      </c>
      <c r="B713" s="5">
        <v>10</v>
      </c>
      <c r="C713" s="6">
        <f t="shared" si="35"/>
        <v>1442</v>
      </c>
      <c r="D713" s="6">
        <f t="shared" si="36"/>
        <v>803</v>
      </c>
      <c r="E713" s="8">
        <f t="shared" si="38"/>
        <v>122.67821309125657</v>
      </c>
      <c r="F713" s="8">
        <f t="shared" si="37"/>
        <v>73.606927854753934</v>
      </c>
    </row>
    <row r="714" spans="1:6" x14ac:dyDescent="0.2">
      <c r="A714" s="5">
        <v>713</v>
      </c>
      <c r="B714" s="5">
        <v>4</v>
      </c>
      <c r="C714" s="6">
        <f t="shared" si="35"/>
        <v>1443</v>
      </c>
      <c r="D714" s="6">
        <f t="shared" si="36"/>
        <v>804</v>
      </c>
      <c r="E714" s="8">
        <f t="shared" si="38"/>
        <v>122.83086478738652</v>
      </c>
      <c r="F714" s="8">
        <f t="shared" si="37"/>
        <v>69.604156712852358</v>
      </c>
    </row>
    <row r="715" spans="1:6" x14ac:dyDescent="0.2">
      <c r="A715" s="5">
        <v>714</v>
      </c>
      <c r="B715" s="5">
        <v>1</v>
      </c>
      <c r="C715" s="6">
        <f t="shared" si="35"/>
        <v>1444</v>
      </c>
      <c r="D715" s="6">
        <f t="shared" si="36"/>
        <v>805</v>
      </c>
      <c r="E715" s="8">
        <f t="shared" si="38"/>
        <v>122.98351648351647</v>
      </c>
      <c r="F715" s="8">
        <f t="shared" si="37"/>
        <v>65.591208791208786</v>
      </c>
    </row>
    <row r="716" spans="1:6" x14ac:dyDescent="0.2">
      <c r="A716" s="5">
        <v>715</v>
      </c>
      <c r="B716" s="5">
        <v>13</v>
      </c>
      <c r="C716" s="6">
        <f t="shared" si="35"/>
        <v>1445</v>
      </c>
      <c r="D716" s="6">
        <f t="shared" si="36"/>
        <v>806</v>
      </c>
      <c r="E716" s="8">
        <f t="shared" si="38"/>
        <v>123.13616817964643</v>
      </c>
      <c r="F716" s="8">
        <f t="shared" si="37"/>
        <v>61.568084089823216</v>
      </c>
    </row>
    <row r="717" spans="1:6" x14ac:dyDescent="0.2">
      <c r="A717" s="5">
        <v>716</v>
      </c>
      <c r="B717" s="5">
        <v>4</v>
      </c>
      <c r="C717" s="6">
        <f t="shared" si="35"/>
        <v>1446</v>
      </c>
      <c r="D717" s="6">
        <f t="shared" si="36"/>
        <v>807</v>
      </c>
      <c r="E717" s="8">
        <f t="shared" si="38"/>
        <v>123.28881987577638</v>
      </c>
      <c r="F717" s="8">
        <f t="shared" si="37"/>
        <v>57.534782608695643</v>
      </c>
    </row>
    <row r="718" spans="1:6" x14ac:dyDescent="0.2">
      <c r="A718" s="5">
        <v>717</v>
      </c>
      <c r="B718" s="5">
        <v>26</v>
      </c>
      <c r="C718" s="6">
        <f t="shared" si="35"/>
        <v>1447</v>
      </c>
      <c r="D718" s="6">
        <f t="shared" si="36"/>
        <v>808</v>
      </c>
      <c r="E718" s="8">
        <f t="shared" si="38"/>
        <v>123.44147157190635</v>
      </c>
      <c r="F718" s="8">
        <f t="shared" si="37"/>
        <v>53.49130434782608</v>
      </c>
    </row>
    <row r="719" spans="1:6" x14ac:dyDescent="0.2">
      <c r="A719" s="5">
        <v>718</v>
      </c>
      <c r="B719" s="5">
        <v>7</v>
      </c>
      <c r="C719" s="6">
        <f t="shared" si="35"/>
        <v>1448</v>
      </c>
      <c r="D719" s="6">
        <f t="shared" si="36"/>
        <v>809</v>
      </c>
      <c r="E719" s="8">
        <f t="shared" si="38"/>
        <v>123.5941232680363</v>
      </c>
      <c r="F719" s="8">
        <f t="shared" si="37"/>
        <v>49.437649307214521</v>
      </c>
    </row>
    <row r="720" spans="1:6" x14ac:dyDescent="0.2">
      <c r="A720" s="5">
        <v>719</v>
      </c>
      <c r="B720" s="5">
        <v>12</v>
      </c>
      <c r="C720" s="6">
        <f t="shared" si="35"/>
        <v>1449</v>
      </c>
      <c r="D720" s="6">
        <f t="shared" si="36"/>
        <v>810</v>
      </c>
      <c r="E720" s="8">
        <f t="shared" si="38"/>
        <v>123.74677496416626</v>
      </c>
      <c r="F720" s="8">
        <f t="shared" si="37"/>
        <v>45.373817486860965</v>
      </c>
    </row>
    <row r="721" spans="1:6" x14ac:dyDescent="0.2">
      <c r="A721" s="5">
        <v>720</v>
      </c>
      <c r="B721" s="5">
        <v>2</v>
      </c>
      <c r="C721" s="6">
        <f t="shared" si="35"/>
        <v>1450</v>
      </c>
      <c r="D721" s="6">
        <f t="shared" si="36"/>
        <v>811</v>
      </c>
      <c r="E721" s="8">
        <f t="shared" si="38"/>
        <v>123.89942666029621</v>
      </c>
      <c r="F721" s="8">
        <f t="shared" si="37"/>
        <v>41.299808886765405</v>
      </c>
    </row>
    <row r="722" spans="1:6" x14ac:dyDescent="0.2">
      <c r="A722" s="5">
        <v>721</v>
      </c>
      <c r="B722" s="5">
        <v>17</v>
      </c>
      <c r="C722" s="6">
        <f t="shared" si="35"/>
        <v>1451</v>
      </c>
      <c r="D722" s="6">
        <f t="shared" si="36"/>
        <v>812</v>
      </c>
      <c r="E722" s="8">
        <f t="shared" si="38"/>
        <v>124.05207835642618</v>
      </c>
      <c r="F722" s="8">
        <f t="shared" si="37"/>
        <v>37.215623506927855</v>
      </c>
    </row>
    <row r="723" spans="1:6" x14ac:dyDescent="0.2">
      <c r="A723" s="5">
        <v>722</v>
      </c>
      <c r="B723" s="5">
        <v>3</v>
      </c>
      <c r="C723" s="6">
        <f t="shared" si="35"/>
        <v>1452</v>
      </c>
      <c r="D723" s="6">
        <f t="shared" si="36"/>
        <v>813</v>
      </c>
      <c r="E723" s="8">
        <f t="shared" si="38"/>
        <v>124.20473005255613</v>
      </c>
      <c r="F723" s="8">
        <f t="shared" si="37"/>
        <v>33.121261347348302</v>
      </c>
    </row>
    <row r="724" spans="1:6" x14ac:dyDescent="0.2">
      <c r="A724" s="5">
        <v>723</v>
      </c>
      <c r="B724" s="5">
        <v>26</v>
      </c>
      <c r="C724" s="6">
        <f t="shared" si="35"/>
        <v>1453</v>
      </c>
      <c r="D724" s="6">
        <f t="shared" si="36"/>
        <v>814</v>
      </c>
      <c r="E724" s="8">
        <f t="shared" si="38"/>
        <v>124.35738174868608</v>
      </c>
      <c r="F724" s="8">
        <f t="shared" si="37"/>
        <v>29.016722408026752</v>
      </c>
    </row>
    <row r="725" spans="1:6" x14ac:dyDescent="0.2">
      <c r="A725" s="5">
        <v>724</v>
      </c>
      <c r="B725" s="5">
        <v>17</v>
      </c>
      <c r="C725" s="6">
        <f t="shared" si="35"/>
        <v>1454</v>
      </c>
      <c r="D725" s="6">
        <f t="shared" si="36"/>
        <v>815</v>
      </c>
      <c r="E725" s="8">
        <f t="shared" si="38"/>
        <v>124.51003344481605</v>
      </c>
      <c r="F725" s="8">
        <f t="shared" si="37"/>
        <v>24.902006688963208</v>
      </c>
    </row>
    <row r="726" spans="1:6" x14ac:dyDescent="0.2">
      <c r="A726" s="5">
        <v>725</v>
      </c>
      <c r="B726" s="5">
        <v>2</v>
      </c>
      <c r="C726" s="6">
        <f t="shared" si="35"/>
        <v>1455</v>
      </c>
      <c r="D726" s="6">
        <f t="shared" si="36"/>
        <v>816</v>
      </c>
      <c r="E726" s="8">
        <f t="shared" si="38"/>
        <v>124.662685140946</v>
      </c>
      <c r="F726" s="8">
        <f t="shared" si="37"/>
        <v>20.777114190157665</v>
      </c>
    </row>
    <row r="727" spans="1:6" x14ac:dyDescent="0.2">
      <c r="A727" s="5">
        <v>726</v>
      </c>
      <c r="B727" s="5">
        <v>9</v>
      </c>
      <c r="C727" s="6">
        <f t="shared" si="35"/>
        <v>1456</v>
      </c>
      <c r="D727" s="6">
        <f t="shared" si="36"/>
        <v>817</v>
      </c>
      <c r="E727" s="8">
        <f t="shared" si="38"/>
        <v>124.81533683707596</v>
      </c>
      <c r="F727" s="8">
        <f t="shared" si="37"/>
        <v>16.642044911610128</v>
      </c>
    </row>
    <row r="728" spans="1:6" x14ac:dyDescent="0.2">
      <c r="A728" s="5">
        <v>727</v>
      </c>
      <c r="B728" s="5">
        <v>20</v>
      </c>
      <c r="C728" s="6">
        <f t="shared" si="35"/>
        <v>1457</v>
      </c>
      <c r="D728" s="6">
        <f t="shared" si="36"/>
        <v>818</v>
      </c>
      <c r="E728" s="8">
        <f t="shared" si="38"/>
        <v>124.96798853320591</v>
      </c>
      <c r="F728" s="8">
        <f t="shared" si="37"/>
        <v>12.496798853320591</v>
      </c>
    </row>
    <row r="729" spans="1:6" x14ac:dyDescent="0.2">
      <c r="A729" s="5">
        <v>728</v>
      </c>
      <c r="B729" s="5">
        <v>45</v>
      </c>
      <c r="C729" s="6">
        <f t="shared" si="35"/>
        <v>1458</v>
      </c>
      <c r="D729" s="6">
        <f t="shared" si="36"/>
        <v>819</v>
      </c>
      <c r="E729" s="8">
        <f t="shared" si="38"/>
        <v>125.12064022933588</v>
      </c>
      <c r="F729" s="8">
        <f t="shared" si="37"/>
        <v>8.3413760152890593</v>
      </c>
    </row>
    <row r="730" spans="1:6" x14ac:dyDescent="0.2">
      <c r="A730" s="5">
        <v>729</v>
      </c>
      <c r="B730" s="5">
        <v>11</v>
      </c>
      <c r="C730" s="6">
        <f t="shared" si="35"/>
        <v>1459</v>
      </c>
      <c r="D730" s="6">
        <f t="shared" si="36"/>
        <v>820</v>
      </c>
      <c r="E730" s="8">
        <f t="shared" si="38"/>
        <v>125.27329192546583</v>
      </c>
      <c r="F730" s="8">
        <f t="shared" si="37"/>
        <v>4.175776397515528</v>
      </c>
    </row>
    <row r="731" spans="1:6" x14ac:dyDescent="0.2">
      <c r="A731" s="5">
        <v>730</v>
      </c>
      <c r="B731" s="5">
        <v>10</v>
      </c>
      <c r="C731" s="6">
        <f t="shared" si="35"/>
        <v>1460</v>
      </c>
      <c r="D731" s="6">
        <f t="shared" si="36"/>
        <v>821</v>
      </c>
      <c r="E731" s="8">
        <f t="shared" si="38"/>
        <v>125.42594362159579</v>
      </c>
      <c r="F731" s="8">
        <f t="shared" si="37"/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053D-CF6C-8E4B-8F58-EABD895CE221}">
  <dimension ref="A1:J731"/>
  <sheetViews>
    <sheetView workbookViewId="0">
      <selection activeCell="D1" sqref="D1"/>
    </sheetView>
  </sheetViews>
  <sheetFormatPr baseColWidth="10" defaultRowHeight="16" x14ac:dyDescent="0.2"/>
  <cols>
    <col min="4" max="4" width="27.33203125" bestFit="1" customWidth="1"/>
    <col min="6" max="6" width="27.33203125" bestFit="1" customWidth="1"/>
    <col min="7" max="7" width="17.1640625" customWidth="1"/>
    <col min="8" max="8" width="12.1640625" bestFit="1" customWidth="1"/>
  </cols>
  <sheetData>
    <row r="1" spans="1:10" x14ac:dyDescent="0.2">
      <c r="A1" t="s">
        <v>0</v>
      </c>
      <c r="B1" t="s">
        <v>3</v>
      </c>
      <c r="C1" t="s">
        <v>32</v>
      </c>
      <c r="D1" t="s">
        <v>26</v>
      </c>
      <c r="E1" t="s">
        <v>28</v>
      </c>
      <c r="G1" t="s">
        <v>42</v>
      </c>
    </row>
    <row r="2" spans="1:10" x14ac:dyDescent="0.2">
      <c r="A2">
        <v>1</v>
      </c>
      <c r="B2">
        <v>0</v>
      </c>
      <c r="C2">
        <f>A2+730</f>
        <v>731</v>
      </c>
      <c r="D2" s="2">
        <f>AVERAGE(B671:B731)</f>
        <v>19.409836065573771</v>
      </c>
      <c r="G2" t="s">
        <v>41</v>
      </c>
    </row>
    <row r="3" spans="1:10" x14ac:dyDescent="0.2">
      <c r="A3">
        <v>2</v>
      </c>
      <c r="B3">
        <v>0</v>
      </c>
      <c r="C3">
        <f t="shared" ref="C3:C66" si="0">A3+730</f>
        <v>732</v>
      </c>
      <c r="D3" s="2">
        <f>$D$2</f>
        <v>19.409836065573771</v>
      </c>
      <c r="G3" t="s">
        <v>43</v>
      </c>
    </row>
    <row r="4" spans="1:10" x14ac:dyDescent="0.2">
      <c r="A4">
        <v>3</v>
      </c>
      <c r="B4">
        <v>0</v>
      </c>
      <c r="C4">
        <f t="shared" si="0"/>
        <v>733</v>
      </c>
      <c r="D4" s="2">
        <f t="shared" ref="D4:D67" si="1">$D$2</f>
        <v>19.409836065573771</v>
      </c>
    </row>
    <row r="5" spans="1:10" x14ac:dyDescent="0.2">
      <c r="A5">
        <v>4</v>
      </c>
      <c r="B5">
        <v>0</v>
      </c>
      <c r="C5">
        <f t="shared" si="0"/>
        <v>734</v>
      </c>
      <c r="D5" s="2">
        <f t="shared" si="1"/>
        <v>19.409836065573771</v>
      </c>
      <c r="H5" t="s">
        <v>9</v>
      </c>
      <c r="I5" t="s">
        <v>10</v>
      </c>
      <c r="J5" t="s">
        <v>23</v>
      </c>
    </row>
    <row r="6" spans="1:10" x14ac:dyDescent="0.2">
      <c r="A6">
        <v>5</v>
      </c>
      <c r="B6">
        <v>0</v>
      </c>
      <c r="C6">
        <f t="shared" si="0"/>
        <v>735</v>
      </c>
      <c r="D6" s="2">
        <f t="shared" si="1"/>
        <v>19.409836065573771</v>
      </c>
      <c r="G6" s="3" t="s">
        <v>20</v>
      </c>
      <c r="H6">
        <f>731</f>
        <v>731</v>
      </c>
      <c r="I6">
        <f>H6+72</f>
        <v>803</v>
      </c>
      <c r="J6" s="2">
        <f>AVERAGE($D$2:$D$74)</f>
        <v>19.409836065573764</v>
      </c>
    </row>
    <row r="7" spans="1:10" x14ac:dyDescent="0.2">
      <c r="A7">
        <v>6</v>
      </c>
      <c r="B7">
        <v>0</v>
      </c>
      <c r="C7">
        <f t="shared" si="0"/>
        <v>736</v>
      </c>
      <c r="D7" s="2">
        <f t="shared" si="1"/>
        <v>19.409836065573771</v>
      </c>
      <c r="G7" s="3" t="s">
        <v>16</v>
      </c>
      <c r="H7">
        <f>I6+1</f>
        <v>804</v>
      </c>
      <c r="I7">
        <f>H7+72</f>
        <v>876</v>
      </c>
      <c r="J7" s="2">
        <f>AVERAGE($D$75:$D$147)</f>
        <v>19.409836065573764</v>
      </c>
    </row>
    <row r="8" spans="1:10" x14ac:dyDescent="0.2">
      <c r="A8">
        <v>7</v>
      </c>
      <c r="B8">
        <v>0</v>
      </c>
      <c r="C8">
        <f t="shared" si="0"/>
        <v>737</v>
      </c>
      <c r="D8" s="2">
        <f t="shared" si="1"/>
        <v>19.409836065573771</v>
      </c>
      <c r="G8" s="3" t="s">
        <v>8</v>
      </c>
      <c r="H8">
        <f>I7+1</f>
        <v>877</v>
      </c>
      <c r="I8">
        <f t="shared" ref="I8:I14" si="2">H8+72</f>
        <v>949</v>
      </c>
      <c r="J8" s="2">
        <f>AVERAGE($D$148:$D$220)</f>
        <v>19.409836065573764</v>
      </c>
    </row>
    <row r="9" spans="1:10" x14ac:dyDescent="0.2">
      <c r="A9">
        <v>8</v>
      </c>
      <c r="B9">
        <v>0</v>
      </c>
      <c r="C9">
        <f t="shared" si="0"/>
        <v>738</v>
      </c>
      <c r="D9" s="2">
        <f t="shared" si="1"/>
        <v>19.409836065573771</v>
      </c>
      <c r="G9" s="3" t="s">
        <v>17</v>
      </c>
      <c r="H9">
        <f t="shared" ref="H9:H16" si="3">I8+1</f>
        <v>950</v>
      </c>
      <c r="I9">
        <f t="shared" si="2"/>
        <v>1022</v>
      </c>
      <c r="J9" s="2">
        <f>AVERAGE($D$221:$D$293)</f>
        <v>19.409836065573764</v>
      </c>
    </row>
    <row r="10" spans="1:10" x14ac:dyDescent="0.2">
      <c r="A10">
        <v>9</v>
      </c>
      <c r="B10">
        <v>0</v>
      </c>
      <c r="C10">
        <f t="shared" si="0"/>
        <v>739</v>
      </c>
      <c r="D10" s="2">
        <f t="shared" si="1"/>
        <v>19.409836065573771</v>
      </c>
      <c r="G10" s="3" t="s">
        <v>21</v>
      </c>
      <c r="H10">
        <f t="shared" si="3"/>
        <v>1023</v>
      </c>
      <c r="I10">
        <f t="shared" si="2"/>
        <v>1095</v>
      </c>
      <c r="J10" s="2">
        <f>AVERAGE($D$294:$D$366)</f>
        <v>19.409836065573764</v>
      </c>
    </row>
    <row r="11" spans="1:10" x14ac:dyDescent="0.2">
      <c r="A11">
        <v>10</v>
      </c>
      <c r="B11">
        <v>0</v>
      </c>
      <c r="C11">
        <f t="shared" si="0"/>
        <v>740</v>
      </c>
      <c r="D11" s="2">
        <f t="shared" si="1"/>
        <v>19.409836065573771</v>
      </c>
      <c r="G11" s="4" t="s">
        <v>20</v>
      </c>
      <c r="H11">
        <f t="shared" si="3"/>
        <v>1096</v>
      </c>
      <c r="I11">
        <f t="shared" si="2"/>
        <v>1168</v>
      </c>
      <c r="J11" s="2">
        <f>AVERAGE($D$367:$D$439)</f>
        <v>19.409836065573764</v>
      </c>
    </row>
    <row r="12" spans="1:10" x14ac:dyDescent="0.2">
      <c r="A12">
        <v>11</v>
      </c>
      <c r="B12">
        <v>0</v>
      </c>
      <c r="C12">
        <f t="shared" si="0"/>
        <v>741</v>
      </c>
      <c r="D12" s="2">
        <f t="shared" si="1"/>
        <v>19.409836065573771</v>
      </c>
      <c r="G12" s="4" t="s">
        <v>16</v>
      </c>
      <c r="H12">
        <f t="shared" si="3"/>
        <v>1169</v>
      </c>
      <c r="I12">
        <f t="shared" si="2"/>
        <v>1241</v>
      </c>
      <c r="J12" s="2">
        <f>AVERAGE($D$440:$D$512)</f>
        <v>19.409836065573764</v>
      </c>
    </row>
    <row r="13" spans="1:10" x14ac:dyDescent="0.2">
      <c r="A13">
        <v>12</v>
      </c>
      <c r="B13">
        <v>0</v>
      </c>
      <c r="C13">
        <f t="shared" si="0"/>
        <v>742</v>
      </c>
      <c r="D13" s="2">
        <f t="shared" si="1"/>
        <v>19.409836065573771</v>
      </c>
      <c r="G13" s="4" t="s">
        <v>8</v>
      </c>
      <c r="H13">
        <f t="shared" si="3"/>
        <v>1242</v>
      </c>
      <c r="I13">
        <f t="shared" si="2"/>
        <v>1314</v>
      </c>
      <c r="J13" s="2">
        <f>AVERAGE($D$513:$D$585)</f>
        <v>19.409836065573764</v>
      </c>
    </row>
    <row r="14" spans="1:10" x14ac:dyDescent="0.2">
      <c r="A14">
        <v>13</v>
      </c>
      <c r="B14">
        <v>0</v>
      </c>
      <c r="C14">
        <f t="shared" si="0"/>
        <v>743</v>
      </c>
      <c r="D14" s="2">
        <f t="shared" si="1"/>
        <v>19.409836065573771</v>
      </c>
      <c r="G14" s="4" t="s">
        <v>17</v>
      </c>
      <c r="H14">
        <f t="shared" si="3"/>
        <v>1315</v>
      </c>
      <c r="I14">
        <f t="shared" si="2"/>
        <v>1387</v>
      </c>
      <c r="J14" s="2">
        <f>AVERAGE($D$586:$D$658)</f>
        <v>19.409836065573764</v>
      </c>
    </row>
    <row r="15" spans="1:10" x14ac:dyDescent="0.2">
      <c r="A15">
        <v>14</v>
      </c>
      <c r="B15">
        <v>0</v>
      </c>
      <c r="C15">
        <f t="shared" si="0"/>
        <v>744</v>
      </c>
      <c r="D15" s="2">
        <f t="shared" si="1"/>
        <v>19.409836065573771</v>
      </c>
      <c r="G15" s="4" t="s">
        <v>21</v>
      </c>
      <c r="H15">
        <f t="shared" si="3"/>
        <v>1388</v>
      </c>
      <c r="I15">
        <f>H15+41</f>
        <v>1429</v>
      </c>
      <c r="J15" s="2">
        <f>AVERAGE($D$659:$D$700)</f>
        <v>19.409836065573781</v>
      </c>
    </row>
    <row r="16" spans="1:10" x14ac:dyDescent="0.2">
      <c r="A16">
        <v>15</v>
      </c>
      <c r="B16">
        <v>0</v>
      </c>
      <c r="C16">
        <f t="shared" si="0"/>
        <v>745</v>
      </c>
      <c r="D16" s="2">
        <f t="shared" si="1"/>
        <v>19.409836065573771</v>
      </c>
      <c r="G16" s="6" t="s">
        <v>48</v>
      </c>
      <c r="H16">
        <f t="shared" si="3"/>
        <v>1430</v>
      </c>
      <c r="I16">
        <f>H16+30</f>
        <v>1460</v>
      </c>
      <c r="J16" s="2">
        <f>AVERAGE($E$701:$E$731)</f>
        <v>9.7049180327868871</v>
      </c>
    </row>
    <row r="17" spans="1:8" x14ac:dyDescent="0.2">
      <c r="A17">
        <v>16</v>
      </c>
      <c r="B17">
        <v>0</v>
      </c>
      <c r="C17">
        <f t="shared" si="0"/>
        <v>746</v>
      </c>
      <c r="D17" s="2">
        <f t="shared" si="1"/>
        <v>19.409836065573771</v>
      </c>
    </row>
    <row r="18" spans="1:8" x14ac:dyDescent="0.2">
      <c r="A18">
        <v>17</v>
      </c>
      <c r="B18">
        <v>0</v>
      </c>
      <c r="C18">
        <f t="shared" si="0"/>
        <v>747</v>
      </c>
      <c r="D18" s="2">
        <f t="shared" si="1"/>
        <v>19.409836065573771</v>
      </c>
      <c r="H18" s="13"/>
    </row>
    <row r="19" spans="1:8" x14ac:dyDescent="0.2">
      <c r="A19">
        <v>18</v>
      </c>
      <c r="B19">
        <v>0</v>
      </c>
      <c r="C19">
        <f t="shared" si="0"/>
        <v>748</v>
      </c>
      <c r="D19" s="2">
        <f t="shared" si="1"/>
        <v>19.409836065573771</v>
      </c>
    </row>
    <row r="20" spans="1:8" x14ac:dyDescent="0.2">
      <c r="A20">
        <v>19</v>
      </c>
      <c r="B20">
        <v>0</v>
      </c>
      <c r="C20">
        <f t="shared" si="0"/>
        <v>749</v>
      </c>
      <c r="D20" s="2">
        <f t="shared" si="1"/>
        <v>19.409836065573771</v>
      </c>
    </row>
    <row r="21" spans="1:8" x14ac:dyDescent="0.2">
      <c r="A21">
        <v>20</v>
      </c>
      <c r="B21">
        <v>0</v>
      </c>
      <c r="C21">
        <f t="shared" si="0"/>
        <v>750</v>
      </c>
      <c r="D21" s="2">
        <f t="shared" si="1"/>
        <v>19.409836065573771</v>
      </c>
    </row>
    <row r="22" spans="1:8" x14ac:dyDescent="0.2">
      <c r="A22">
        <v>21</v>
      </c>
      <c r="B22">
        <v>0</v>
      </c>
      <c r="C22">
        <f t="shared" si="0"/>
        <v>751</v>
      </c>
      <c r="D22" s="2">
        <f t="shared" si="1"/>
        <v>19.409836065573771</v>
      </c>
    </row>
    <row r="23" spans="1:8" x14ac:dyDescent="0.2">
      <c r="A23">
        <v>22</v>
      </c>
      <c r="B23">
        <v>0</v>
      </c>
      <c r="C23">
        <f t="shared" si="0"/>
        <v>752</v>
      </c>
      <c r="D23" s="2">
        <f t="shared" si="1"/>
        <v>19.409836065573771</v>
      </c>
    </row>
    <row r="24" spans="1:8" x14ac:dyDescent="0.2">
      <c r="A24">
        <v>23</v>
      </c>
      <c r="B24">
        <v>0</v>
      </c>
      <c r="C24">
        <f t="shared" si="0"/>
        <v>753</v>
      </c>
      <c r="D24" s="2">
        <f t="shared" si="1"/>
        <v>19.409836065573771</v>
      </c>
    </row>
    <row r="25" spans="1:8" x14ac:dyDescent="0.2">
      <c r="A25">
        <v>24</v>
      </c>
      <c r="B25">
        <v>0</v>
      </c>
      <c r="C25">
        <f t="shared" si="0"/>
        <v>754</v>
      </c>
      <c r="D25" s="2">
        <f t="shared" si="1"/>
        <v>19.409836065573771</v>
      </c>
    </row>
    <row r="26" spans="1:8" x14ac:dyDescent="0.2">
      <c r="A26">
        <v>25</v>
      </c>
      <c r="B26">
        <v>0</v>
      </c>
      <c r="C26">
        <f t="shared" si="0"/>
        <v>755</v>
      </c>
      <c r="D26" s="2">
        <f t="shared" si="1"/>
        <v>19.409836065573771</v>
      </c>
    </row>
    <row r="27" spans="1:8" x14ac:dyDescent="0.2">
      <c r="A27">
        <v>26</v>
      </c>
      <c r="B27">
        <v>0</v>
      </c>
      <c r="C27">
        <f t="shared" si="0"/>
        <v>756</v>
      </c>
      <c r="D27" s="2">
        <f t="shared" si="1"/>
        <v>19.409836065573771</v>
      </c>
    </row>
    <row r="28" spans="1:8" x14ac:dyDescent="0.2">
      <c r="A28">
        <v>27</v>
      </c>
      <c r="B28">
        <v>0</v>
      </c>
      <c r="C28">
        <f t="shared" si="0"/>
        <v>757</v>
      </c>
      <c r="D28" s="2">
        <f t="shared" si="1"/>
        <v>19.409836065573771</v>
      </c>
    </row>
    <row r="29" spans="1:8" x14ac:dyDescent="0.2">
      <c r="A29">
        <v>28</v>
      </c>
      <c r="B29">
        <v>0</v>
      </c>
      <c r="C29">
        <f t="shared" si="0"/>
        <v>758</v>
      </c>
      <c r="D29" s="2">
        <f t="shared" si="1"/>
        <v>19.409836065573771</v>
      </c>
    </row>
    <row r="30" spans="1:8" x14ac:dyDescent="0.2">
      <c r="A30">
        <v>29</v>
      </c>
      <c r="B30">
        <v>0</v>
      </c>
      <c r="C30">
        <f t="shared" si="0"/>
        <v>759</v>
      </c>
      <c r="D30" s="2">
        <f t="shared" si="1"/>
        <v>19.409836065573771</v>
      </c>
    </row>
    <row r="31" spans="1:8" x14ac:dyDescent="0.2">
      <c r="A31">
        <v>30</v>
      </c>
      <c r="B31">
        <v>0</v>
      </c>
      <c r="C31">
        <f t="shared" si="0"/>
        <v>760</v>
      </c>
      <c r="D31" s="2">
        <f t="shared" si="1"/>
        <v>19.409836065573771</v>
      </c>
    </row>
    <row r="32" spans="1:8" x14ac:dyDescent="0.2">
      <c r="A32">
        <v>31</v>
      </c>
      <c r="B32">
        <v>0</v>
      </c>
      <c r="C32">
        <f t="shared" si="0"/>
        <v>761</v>
      </c>
      <c r="D32" s="2">
        <f t="shared" si="1"/>
        <v>19.409836065573771</v>
      </c>
    </row>
    <row r="33" spans="1:4" x14ac:dyDescent="0.2">
      <c r="A33">
        <v>32</v>
      </c>
      <c r="B33">
        <v>0</v>
      </c>
      <c r="C33">
        <f t="shared" si="0"/>
        <v>762</v>
      </c>
      <c r="D33" s="2">
        <f t="shared" si="1"/>
        <v>19.409836065573771</v>
      </c>
    </row>
    <row r="34" spans="1:4" x14ac:dyDescent="0.2">
      <c r="A34">
        <v>33</v>
      </c>
      <c r="B34">
        <v>0</v>
      </c>
      <c r="C34">
        <f t="shared" si="0"/>
        <v>763</v>
      </c>
      <c r="D34" s="2">
        <f t="shared" si="1"/>
        <v>19.409836065573771</v>
      </c>
    </row>
    <row r="35" spans="1:4" x14ac:dyDescent="0.2">
      <c r="A35">
        <v>34</v>
      </c>
      <c r="B35">
        <v>0</v>
      </c>
      <c r="C35">
        <f t="shared" si="0"/>
        <v>764</v>
      </c>
      <c r="D35" s="2">
        <f t="shared" si="1"/>
        <v>19.409836065573771</v>
      </c>
    </row>
    <row r="36" spans="1:4" x14ac:dyDescent="0.2">
      <c r="A36">
        <v>35</v>
      </c>
      <c r="B36">
        <v>0</v>
      </c>
      <c r="C36">
        <f t="shared" si="0"/>
        <v>765</v>
      </c>
      <c r="D36" s="2">
        <f t="shared" si="1"/>
        <v>19.409836065573771</v>
      </c>
    </row>
    <row r="37" spans="1:4" x14ac:dyDescent="0.2">
      <c r="A37">
        <v>36</v>
      </c>
      <c r="B37">
        <v>0</v>
      </c>
      <c r="C37">
        <f t="shared" si="0"/>
        <v>766</v>
      </c>
      <c r="D37" s="2">
        <f t="shared" si="1"/>
        <v>19.409836065573771</v>
      </c>
    </row>
    <row r="38" spans="1:4" x14ac:dyDescent="0.2">
      <c r="A38">
        <v>37</v>
      </c>
      <c r="B38">
        <v>0</v>
      </c>
      <c r="C38">
        <f t="shared" si="0"/>
        <v>767</v>
      </c>
      <c r="D38" s="2">
        <f t="shared" si="1"/>
        <v>19.409836065573771</v>
      </c>
    </row>
    <row r="39" spans="1:4" x14ac:dyDescent="0.2">
      <c r="A39">
        <v>38</v>
      </c>
      <c r="B39">
        <v>0</v>
      </c>
      <c r="C39">
        <f t="shared" si="0"/>
        <v>768</v>
      </c>
      <c r="D39" s="2">
        <f t="shared" si="1"/>
        <v>19.409836065573771</v>
      </c>
    </row>
    <row r="40" spans="1:4" x14ac:dyDescent="0.2">
      <c r="A40">
        <v>39</v>
      </c>
      <c r="B40">
        <v>0</v>
      </c>
      <c r="C40">
        <f t="shared" si="0"/>
        <v>769</v>
      </c>
      <c r="D40" s="2">
        <f t="shared" si="1"/>
        <v>19.409836065573771</v>
      </c>
    </row>
    <row r="41" spans="1:4" x14ac:dyDescent="0.2">
      <c r="A41">
        <v>40</v>
      </c>
      <c r="B41">
        <v>0</v>
      </c>
      <c r="C41">
        <f t="shared" si="0"/>
        <v>770</v>
      </c>
      <c r="D41" s="2">
        <f t="shared" si="1"/>
        <v>19.409836065573771</v>
      </c>
    </row>
    <row r="42" spans="1:4" x14ac:dyDescent="0.2">
      <c r="A42">
        <v>41</v>
      </c>
      <c r="B42">
        <v>0</v>
      </c>
      <c r="C42">
        <f t="shared" si="0"/>
        <v>771</v>
      </c>
      <c r="D42" s="2">
        <f t="shared" si="1"/>
        <v>19.409836065573771</v>
      </c>
    </row>
    <row r="43" spans="1:4" x14ac:dyDescent="0.2">
      <c r="A43">
        <v>42</v>
      </c>
      <c r="B43">
        <v>0</v>
      </c>
      <c r="C43">
        <f t="shared" si="0"/>
        <v>772</v>
      </c>
      <c r="D43" s="2">
        <f t="shared" si="1"/>
        <v>19.409836065573771</v>
      </c>
    </row>
    <row r="44" spans="1:4" x14ac:dyDescent="0.2">
      <c r="A44">
        <v>43</v>
      </c>
      <c r="B44">
        <v>0</v>
      </c>
      <c r="C44">
        <f t="shared" si="0"/>
        <v>773</v>
      </c>
      <c r="D44" s="2">
        <f t="shared" si="1"/>
        <v>19.409836065573771</v>
      </c>
    </row>
    <row r="45" spans="1:4" x14ac:dyDescent="0.2">
      <c r="A45">
        <v>44</v>
      </c>
      <c r="B45">
        <v>0</v>
      </c>
      <c r="C45">
        <f t="shared" si="0"/>
        <v>774</v>
      </c>
      <c r="D45" s="2">
        <f t="shared" si="1"/>
        <v>19.409836065573771</v>
      </c>
    </row>
    <row r="46" spans="1:4" x14ac:dyDescent="0.2">
      <c r="A46">
        <v>45</v>
      </c>
      <c r="B46">
        <v>0</v>
      </c>
      <c r="C46">
        <f t="shared" si="0"/>
        <v>775</v>
      </c>
      <c r="D46" s="2">
        <f t="shared" si="1"/>
        <v>19.409836065573771</v>
      </c>
    </row>
    <row r="47" spans="1:4" x14ac:dyDescent="0.2">
      <c r="A47">
        <v>46</v>
      </c>
      <c r="B47">
        <v>0</v>
      </c>
      <c r="C47">
        <f t="shared" si="0"/>
        <v>776</v>
      </c>
      <c r="D47" s="2">
        <f t="shared" si="1"/>
        <v>19.409836065573771</v>
      </c>
    </row>
    <row r="48" spans="1:4" x14ac:dyDescent="0.2">
      <c r="A48">
        <v>47</v>
      </c>
      <c r="B48">
        <v>0</v>
      </c>
      <c r="C48">
        <f t="shared" si="0"/>
        <v>777</v>
      </c>
      <c r="D48" s="2">
        <f t="shared" si="1"/>
        <v>19.409836065573771</v>
      </c>
    </row>
    <row r="49" spans="1:4" x14ac:dyDescent="0.2">
      <c r="A49">
        <v>48</v>
      </c>
      <c r="B49">
        <v>0</v>
      </c>
      <c r="C49">
        <f t="shared" si="0"/>
        <v>778</v>
      </c>
      <c r="D49" s="2">
        <f t="shared" si="1"/>
        <v>19.409836065573771</v>
      </c>
    </row>
    <row r="50" spans="1:4" x14ac:dyDescent="0.2">
      <c r="A50">
        <v>49</v>
      </c>
      <c r="B50">
        <v>0</v>
      </c>
      <c r="C50">
        <f t="shared" si="0"/>
        <v>779</v>
      </c>
      <c r="D50" s="2">
        <f t="shared" si="1"/>
        <v>19.409836065573771</v>
      </c>
    </row>
    <row r="51" spans="1:4" x14ac:dyDescent="0.2">
      <c r="A51">
        <v>50</v>
      </c>
      <c r="B51">
        <v>0</v>
      </c>
      <c r="C51">
        <f t="shared" si="0"/>
        <v>780</v>
      </c>
      <c r="D51" s="2">
        <f t="shared" si="1"/>
        <v>19.409836065573771</v>
      </c>
    </row>
    <row r="52" spans="1:4" x14ac:dyDescent="0.2">
      <c r="A52">
        <v>51</v>
      </c>
      <c r="B52">
        <v>0</v>
      </c>
      <c r="C52">
        <f t="shared" si="0"/>
        <v>781</v>
      </c>
      <c r="D52" s="2">
        <f t="shared" si="1"/>
        <v>19.409836065573771</v>
      </c>
    </row>
    <row r="53" spans="1:4" x14ac:dyDescent="0.2">
      <c r="A53">
        <v>52</v>
      </c>
      <c r="B53">
        <v>0</v>
      </c>
      <c r="C53">
        <f t="shared" si="0"/>
        <v>782</v>
      </c>
      <c r="D53" s="2">
        <f t="shared" si="1"/>
        <v>19.409836065573771</v>
      </c>
    </row>
    <row r="54" spans="1:4" x14ac:dyDescent="0.2">
      <c r="A54">
        <v>53</v>
      </c>
      <c r="B54">
        <v>0</v>
      </c>
      <c r="C54">
        <f t="shared" si="0"/>
        <v>783</v>
      </c>
      <c r="D54" s="2">
        <f t="shared" si="1"/>
        <v>19.409836065573771</v>
      </c>
    </row>
    <row r="55" spans="1:4" x14ac:dyDescent="0.2">
      <c r="A55">
        <v>54</v>
      </c>
      <c r="B55">
        <v>0</v>
      </c>
      <c r="C55">
        <f t="shared" si="0"/>
        <v>784</v>
      </c>
      <c r="D55" s="2">
        <f t="shared" si="1"/>
        <v>19.409836065573771</v>
      </c>
    </row>
    <row r="56" spans="1:4" x14ac:dyDescent="0.2">
      <c r="A56">
        <v>55</v>
      </c>
      <c r="B56">
        <v>0</v>
      </c>
      <c r="C56">
        <f t="shared" si="0"/>
        <v>785</v>
      </c>
      <c r="D56" s="2">
        <f t="shared" si="1"/>
        <v>19.409836065573771</v>
      </c>
    </row>
    <row r="57" spans="1:4" x14ac:dyDescent="0.2">
      <c r="A57">
        <v>56</v>
      </c>
      <c r="B57">
        <v>0</v>
      </c>
      <c r="C57">
        <f t="shared" si="0"/>
        <v>786</v>
      </c>
      <c r="D57" s="2">
        <f t="shared" si="1"/>
        <v>19.409836065573771</v>
      </c>
    </row>
    <row r="58" spans="1:4" x14ac:dyDescent="0.2">
      <c r="A58">
        <v>57</v>
      </c>
      <c r="B58">
        <v>0</v>
      </c>
      <c r="C58">
        <f t="shared" si="0"/>
        <v>787</v>
      </c>
      <c r="D58" s="2">
        <f t="shared" si="1"/>
        <v>19.409836065573771</v>
      </c>
    </row>
    <row r="59" spans="1:4" x14ac:dyDescent="0.2">
      <c r="A59">
        <v>58</v>
      </c>
      <c r="B59">
        <v>0</v>
      </c>
      <c r="C59">
        <f t="shared" si="0"/>
        <v>788</v>
      </c>
      <c r="D59" s="2">
        <f t="shared" si="1"/>
        <v>19.409836065573771</v>
      </c>
    </row>
    <row r="60" spans="1:4" x14ac:dyDescent="0.2">
      <c r="A60">
        <v>59</v>
      </c>
      <c r="B60">
        <v>0</v>
      </c>
      <c r="C60">
        <f t="shared" si="0"/>
        <v>789</v>
      </c>
      <c r="D60" s="2">
        <f t="shared" si="1"/>
        <v>19.409836065573771</v>
      </c>
    </row>
    <row r="61" spans="1:4" x14ac:dyDescent="0.2">
      <c r="A61">
        <v>60</v>
      </c>
      <c r="B61">
        <v>0</v>
      </c>
      <c r="C61">
        <f t="shared" si="0"/>
        <v>790</v>
      </c>
      <c r="D61" s="2">
        <f t="shared" si="1"/>
        <v>19.409836065573771</v>
      </c>
    </row>
    <row r="62" spans="1:4" x14ac:dyDescent="0.2">
      <c r="A62">
        <v>61</v>
      </c>
      <c r="B62">
        <v>0</v>
      </c>
      <c r="C62">
        <f t="shared" si="0"/>
        <v>791</v>
      </c>
      <c r="D62" s="2">
        <f t="shared" si="1"/>
        <v>19.409836065573771</v>
      </c>
    </row>
    <row r="63" spans="1:4" x14ac:dyDescent="0.2">
      <c r="A63">
        <v>62</v>
      </c>
      <c r="B63">
        <v>0</v>
      </c>
      <c r="C63">
        <f t="shared" si="0"/>
        <v>792</v>
      </c>
      <c r="D63" s="2">
        <f t="shared" si="1"/>
        <v>19.409836065573771</v>
      </c>
    </row>
    <row r="64" spans="1:4" x14ac:dyDescent="0.2">
      <c r="A64">
        <v>63</v>
      </c>
      <c r="B64">
        <v>0</v>
      </c>
      <c r="C64">
        <f t="shared" si="0"/>
        <v>793</v>
      </c>
      <c r="D64" s="2">
        <f t="shared" si="1"/>
        <v>19.409836065573771</v>
      </c>
    </row>
    <row r="65" spans="1:4" x14ac:dyDescent="0.2">
      <c r="A65">
        <v>64</v>
      </c>
      <c r="B65">
        <v>0</v>
      </c>
      <c r="C65">
        <f t="shared" si="0"/>
        <v>794</v>
      </c>
      <c r="D65" s="2">
        <f t="shared" si="1"/>
        <v>19.409836065573771</v>
      </c>
    </row>
    <row r="66" spans="1:4" x14ac:dyDescent="0.2">
      <c r="A66">
        <v>65</v>
      </c>
      <c r="B66">
        <v>0</v>
      </c>
      <c r="C66">
        <f t="shared" si="0"/>
        <v>795</v>
      </c>
      <c r="D66" s="2">
        <f t="shared" si="1"/>
        <v>19.409836065573771</v>
      </c>
    </row>
    <row r="67" spans="1:4" x14ac:dyDescent="0.2">
      <c r="A67">
        <v>66</v>
      </c>
      <c r="B67">
        <v>0</v>
      </c>
      <c r="C67">
        <f t="shared" ref="C67:C130" si="4">A67+730</f>
        <v>796</v>
      </c>
      <c r="D67" s="2">
        <f t="shared" si="1"/>
        <v>19.409836065573771</v>
      </c>
    </row>
    <row r="68" spans="1:4" x14ac:dyDescent="0.2">
      <c r="A68">
        <v>67</v>
      </c>
      <c r="B68">
        <v>0</v>
      </c>
      <c r="C68">
        <f t="shared" si="4"/>
        <v>797</v>
      </c>
      <c r="D68" s="2">
        <f t="shared" ref="D68:D131" si="5">$D$2</f>
        <v>19.409836065573771</v>
      </c>
    </row>
    <row r="69" spans="1:4" x14ac:dyDescent="0.2">
      <c r="A69">
        <v>68</v>
      </c>
      <c r="B69">
        <v>0</v>
      </c>
      <c r="C69">
        <f t="shared" si="4"/>
        <v>798</v>
      </c>
      <c r="D69" s="2">
        <f t="shared" si="5"/>
        <v>19.409836065573771</v>
      </c>
    </row>
    <row r="70" spans="1:4" x14ac:dyDescent="0.2">
      <c r="A70">
        <v>69</v>
      </c>
      <c r="B70">
        <v>0</v>
      </c>
      <c r="C70">
        <f t="shared" si="4"/>
        <v>799</v>
      </c>
      <c r="D70" s="2">
        <f t="shared" si="5"/>
        <v>19.409836065573771</v>
      </c>
    </row>
    <row r="71" spans="1:4" x14ac:dyDescent="0.2">
      <c r="A71">
        <v>70</v>
      </c>
      <c r="B71">
        <v>0</v>
      </c>
      <c r="C71">
        <f t="shared" si="4"/>
        <v>800</v>
      </c>
      <c r="D71" s="2">
        <f t="shared" si="5"/>
        <v>19.409836065573771</v>
      </c>
    </row>
    <row r="72" spans="1:4" x14ac:dyDescent="0.2">
      <c r="A72">
        <v>71</v>
      </c>
      <c r="B72">
        <v>0</v>
      </c>
      <c r="C72">
        <f t="shared" si="4"/>
        <v>801</v>
      </c>
      <c r="D72" s="2">
        <f t="shared" si="5"/>
        <v>19.409836065573771</v>
      </c>
    </row>
    <row r="73" spans="1:4" x14ac:dyDescent="0.2">
      <c r="A73">
        <v>72</v>
      </c>
      <c r="B73">
        <v>0</v>
      </c>
      <c r="C73">
        <f t="shared" si="4"/>
        <v>802</v>
      </c>
      <c r="D73" s="2">
        <f t="shared" si="5"/>
        <v>19.409836065573771</v>
      </c>
    </row>
    <row r="74" spans="1:4" x14ac:dyDescent="0.2">
      <c r="A74">
        <v>73</v>
      </c>
      <c r="B74">
        <v>0</v>
      </c>
      <c r="C74">
        <f t="shared" si="4"/>
        <v>803</v>
      </c>
      <c r="D74" s="2">
        <f t="shared" si="5"/>
        <v>19.409836065573771</v>
      </c>
    </row>
    <row r="75" spans="1:4" x14ac:dyDescent="0.2">
      <c r="A75">
        <v>74</v>
      </c>
      <c r="B75">
        <v>0</v>
      </c>
      <c r="C75">
        <f t="shared" si="4"/>
        <v>804</v>
      </c>
      <c r="D75" s="2">
        <f t="shared" si="5"/>
        <v>19.409836065573771</v>
      </c>
    </row>
    <row r="76" spans="1:4" x14ac:dyDescent="0.2">
      <c r="A76">
        <v>75</v>
      </c>
      <c r="B76">
        <v>0</v>
      </c>
      <c r="C76">
        <f t="shared" si="4"/>
        <v>805</v>
      </c>
      <c r="D76" s="2">
        <f t="shared" si="5"/>
        <v>19.409836065573771</v>
      </c>
    </row>
    <row r="77" spans="1:4" x14ac:dyDescent="0.2">
      <c r="A77">
        <v>76</v>
      </c>
      <c r="B77">
        <v>0</v>
      </c>
      <c r="C77">
        <f t="shared" si="4"/>
        <v>806</v>
      </c>
      <c r="D77" s="2">
        <f t="shared" si="5"/>
        <v>19.409836065573771</v>
      </c>
    </row>
    <row r="78" spans="1:4" x14ac:dyDescent="0.2">
      <c r="A78">
        <v>77</v>
      </c>
      <c r="B78">
        <v>0</v>
      </c>
      <c r="C78">
        <f t="shared" si="4"/>
        <v>807</v>
      </c>
      <c r="D78" s="2">
        <f t="shared" si="5"/>
        <v>19.409836065573771</v>
      </c>
    </row>
    <row r="79" spans="1:4" x14ac:dyDescent="0.2">
      <c r="A79">
        <v>78</v>
      </c>
      <c r="B79">
        <v>0</v>
      </c>
      <c r="C79">
        <f t="shared" si="4"/>
        <v>808</v>
      </c>
      <c r="D79" s="2">
        <f t="shared" si="5"/>
        <v>19.409836065573771</v>
      </c>
    </row>
    <row r="80" spans="1:4" x14ac:dyDescent="0.2">
      <c r="A80">
        <v>79</v>
      </c>
      <c r="B80">
        <v>0</v>
      </c>
      <c r="C80">
        <f t="shared" si="4"/>
        <v>809</v>
      </c>
      <c r="D80" s="2">
        <f t="shared" si="5"/>
        <v>19.409836065573771</v>
      </c>
    </row>
    <row r="81" spans="1:4" x14ac:dyDescent="0.2">
      <c r="A81">
        <v>80</v>
      </c>
      <c r="B81">
        <v>0</v>
      </c>
      <c r="C81">
        <f t="shared" si="4"/>
        <v>810</v>
      </c>
      <c r="D81" s="2">
        <f t="shared" si="5"/>
        <v>19.409836065573771</v>
      </c>
    </row>
    <row r="82" spans="1:4" x14ac:dyDescent="0.2">
      <c r="A82">
        <v>81</v>
      </c>
      <c r="B82">
        <v>0</v>
      </c>
      <c r="C82">
        <f t="shared" si="4"/>
        <v>811</v>
      </c>
      <c r="D82" s="2">
        <f t="shared" si="5"/>
        <v>19.409836065573771</v>
      </c>
    </row>
    <row r="83" spans="1:4" x14ac:dyDescent="0.2">
      <c r="A83">
        <v>82</v>
      </c>
      <c r="B83">
        <v>0</v>
      </c>
      <c r="C83">
        <f t="shared" si="4"/>
        <v>812</v>
      </c>
      <c r="D83" s="2">
        <f t="shared" si="5"/>
        <v>19.409836065573771</v>
      </c>
    </row>
    <row r="84" spans="1:4" x14ac:dyDescent="0.2">
      <c r="A84">
        <v>83</v>
      </c>
      <c r="B84">
        <v>0</v>
      </c>
      <c r="C84">
        <f t="shared" si="4"/>
        <v>813</v>
      </c>
      <c r="D84" s="2">
        <f t="shared" si="5"/>
        <v>19.409836065573771</v>
      </c>
    </row>
    <row r="85" spans="1:4" x14ac:dyDescent="0.2">
      <c r="A85">
        <v>84</v>
      </c>
      <c r="B85">
        <v>0</v>
      </c>
      <c r="C85">
        <f t="shared" si="4"/>
        <v>814</v>
      </c>
      <c r="D85" s="2">
        <f t="shared" si="5"/>
        <v>19.409836065573771</v>
      </c>
    </row>
    <row r="86" spans="1:4" x14ac:dyDescent="0.2">
      <c r="A86">
        <v>85</v>
      </c>
      <c r="B86">
        <v>0</v>
      </c>
      <c r="C86">
        <f t="shared" si="4"/>
        <v>815</v>
      </c>
      <c r="D86" s="2">
        <f t="shared" si="5"/>
        <v>19.409836065573771</v>
      </c>
    </row>
    <row r="87" spans="1:4" x14ac:dyDescent="0.2">
      <c r="A87">
        <v>86</v>
      </c>
      <c r="B87">
        <v>0</v>
      </c>
      <c r="C87">
        <f t="shared" si="4"/>
        <v>816</v>
      </c>
      <c r="D87" s="2">
        <f t="shared" si="5"/>
        <v>19.409836065573771</v>
      </c>
    </row>
    <row r="88" spans="1:4" x14ac:dyDescent="0.2">
      <c r="A88">
        <v>87</v>
      </c>
      <c r="B88">
        <v>0</v>
      </c>
      <c r="C88">
        <f t="shared" si="4"/>
        <v>817</v>
      </c>
      <c r="D88" s="2">
        <f t="shared" si="5"/>
        <v>19.409836065573771</v>
      </c>
    </row>
    <row r="89" spans="1:4" x14ac:dyDescent="0.2">
      <c r="A89">
        <v>88</v>
      </c>
      <c r="B89">
        <v>0</v>
      </c>
      <c r="C89">
        <f t="shared" si="4"/>
        <v>818</v>
      </c>
      <c r="D89" s="2">
        <f t="shared" si="5"/>
        <v>19.409836065573771</v>
      </c>
    </row>
    <row r="90" spans="1:4" x14ac:dyDescent="0.2">
      <c r="A90">
        <v>89</v>
      </c>
      <c r="B90">
        <v>0</v>
      </c>
      <c r="C90">
        <f t="shared" si="4"/>
        <v>819</v>
      </c>
      <c r="D90" s="2">
        <f t="shared" si="5"/>
        <v>19.409836065573771</v>
      </c>
    </row>
    <row r="91" spans="1:4" x14ac:dyDescent="0.2">
      <c r="A91">
        <v>90</v>
      </c>
      <c r="B91">
        <v>0</v>
      </c>
      <c r="C91">
        <f t="shared" si="4"/>
        <v>820</v>
      </c>
      <c r="D91" s="2">
        <f t="shared" si="5"/>
        <v>19.409836065573771</v>
      </c>
    </row>
    <row r="92" spans="1:4" x14ac:dyDescent="0.2">
      <c r="A92">
        <v>91</v>
      </c>
      <c r="B92">
        <v>0</v>
      </c>
      <c r="C92">
        <f t="shared" si="4"/>
        <v>821</v>
      </c>
      <c r="D92" s="2">
        <f t="shared" si="5"/>
        <v>19.409836065573771</v>
      </c>
    </row>
    <row r="93" spans="1:4" x14ac:dyDescent="0.2">
      <c r="A93">
        <v>92</v>
      </c>
      <c r="B93">
        <v>0</v>
      </c>
      <c r="C93">
        <f t="shared" si="4"/>
        <v>822</v>
      </c>
      <c r="D93" s="2">
        <f t="shared" si="5"/>
        <v>19.409836065573771</v>
      </c>
    </row>
    <row r="94" spans="1:4" x14ac:dyDescent="0.2">
      <c r="A94">
        <v>93</v>
      </c>
      <c r="B94">
        <v>0</v>
      </c>
      <c r="C94">
        <f t="shared" si="4"/>
        <v>823</v>
      </c>
      <c r="D94" s="2">
        <f t="shared" si="5"/>
        <v>19.409836065573771</v>
      </c>
    </row>
    <row r="95" spans="1:4" x14ac:dyDescent="0.2">
      <c r="A95">
        <v>94</v>
      </c>
      <c r="B95">
        <v>0</v>
      </c>
      <c r="C95">
        <f t="shared" si="4"/>
        <v>824</v>
      </c>
      <c r="D95" s="2">
        <f t="shared" si="5"/>
        <v>19.409836065573771</v>
      </c>
    </row>
    <row r="96" spans="1:4" x14ac:dyDescent="0.2">
      <c r="A96">
        <v>95</v>
      </c>
      <c r="B96">
        <v>0</v>
      </c>
      <c r="C96">
        <f t="shared" si="4"/>
        <v>825</v>
      </c>
      <c r="D96" s="2">
        <f t="shared" si="5"/>
        <v>19.409836065573771</v>
      </c>
    </row>
    <row r="97" spans="1:4" x14ac:dyDescent="0.2">
      <c r="A97">
        <v>96</v>
      </c>
      <c r="B97">
        <v>0</v>
      </c>
      <c r="C97">
        <f t="shared" si="4"/>
        <v>826</v>
      </c>
      <c r="D97" s="2">
        <f t="shared" si="5"/>
        <v>19.409836065573771</v>
      </c>
    </row>
    <row r="98" spans="1:4" x14ac:dyDescent="0.2">
      <c r="A98">
        <v>97</v>
      </c>
      <c r="B98">
        <v>0</v>
      </c>
      <c r="C98">
        <f t="shared" si="4"/>
        <v>827</v>
      </c>
      <c r="D98" s="2">
        <f t="shared" si="5"/>
        <v>19.409836065573771</v>
      </c>
    </row>
    <row r="99" spans="1:4" x14ac:dyDescent="0.2">
      <c r="A99">
        <v>98</v>
      </c>
      <c r="B99">
        <v>0</v>
      </c>
      <c r="C99">
        <f t="shared" si="4"/>
        <v>828</v>
      </c>
      <c r="D99" s="2">
        <f t="shared" si="5"/>
        <v>19.409836065573771</v>
      </c>
    </row>
    <row r="100" spans="1:4" x14ac:dyDescent="0.2">
      <c r="A100">
        <v>99</v>
      </c>
      <c r="B100">
        <v>0</v>
      </c>
      <c r="C100">
        <f t="shared" si="4"/>
        <v>829</v>
      </c>
      <c r="D100" s="2">
        <f t="shared" si="5"/>
        <v>19.409836065573771</v>
      </c>
    </row>
    <row r="101" spans="1:4" x14ac:dyDescent="0.2">
      <c r="A101">
        <v>100</v>
      </c>
      <c r="B101">
        <v>0</v>
      </c>
      <c r="C101">
        <f t="shared" si="4"/>
        <v>830</v>
      </c>
      <c r="D101" s="2">
        <f t="shared" si="5"/>
        <v>19.409836065573771</v>
      </c>
    </row>
    <row r="102" spans="1:4" x14ac:dyDescent="0.2">
      <c r="A102">
        <v>101</v>
      </c>
      <c r="B102">
        <v>0</v>
      </c>
      <c r="C102">
        <f t="shared" si="4"/>
        <v>831</v>
      </c>
      <c r="D102" s="2">
        <f t="shared" si="5"/>
        <v>19.409836065573771</v>
      </c>
    </row>
    <row r="103" spans="1:4" x14ac:dyDescent="0.2">
      <c r="A103">
        <v>102</v>
      </c>
      <c r="B103">
        <v>0</v>
      </c>
      <c r="C103">
        <f t="shared" si="4"/>
        <v>832</v>
      </c>
      <c r="D103" s="2">
        <f t="shared" si="5"/>
        <v>19.409836065573771</v>
      </c>
    </row>
    <row r="104" spans="1:4" x14ac:dyDescent="0.2">
      <c r="A104">
        <v>103</v>
      </c>
      <c r="B104">
        <v>0</v>
      </c>
      <c r="C104">
        <f t="shared" si="4"/>
        <v>833</v>
      </c>
      <c r="D104" s="2">
        <f t="shared" si="5"/>
        <v>19.409836065573771</v>
      </c>
    </row>
    <row r="105" spans="1:4" x14ac:dyDescent="0.2">
      <c r="A105">
        <v>104</v>
      </c>
      <c r="B105">
        <v>0</v>
      </c>
      <c r="C105">
        <f t="shared" si="4"/>
        <v>834</v>
      </c>
      <c r="D105" s="2">
        <f t="shared" si="5"/>
        <v>19.409836065573771</v>
      </c>
    </row>
    <row r="106" spans="1:4" x14ac:dyDescent="0.2">
      <c r="A106">
        <v>105</v>
      </c>
      <c r="B106">
        <v>0</v>
      </c>
      <c r="C106">
        <f t="shared" si="4"/>
        <v>835</v>
      </c>
      <c r="D106" s="2">
        <f t="shared" si="5"/>
        <v>19.409836065573771</v>
      </c>
    </row>
    <row r="107" spans="1:4" x14ac:dyDescent="0.2">
      <c r="A107">
        <v>106</v>
      </c>
      <c r="B107">
        <v>0</v>
      </c>
      <c r="C107">
        <f t="shared" si="4"/>
        <v>836</v>
      </c>
      <c r="D107" s="2">
        <f t="shared" si="5"/>
        <v>19.409836065573771</v>
      </c>
    </row>
    <row r="108" spans="1:4" x14ac:dyDescent="0.2">
      <c r="A108">
        <v>107</v>
      </c>
      <c r="B108">
        <v>0</v>
      </c>
      <c r="C108">
        <f t="shared" si="4"/>
        <v>837</v>
      </c>
      <c r="D108" s="2">
        <f t="shared" si="5"/>
        <v>19.409836065573771</v>
      </c>
    </row>
    <row r="109" spans="1:4" x14ac:dyDescent="0.2">
      <c r="A109">
        <v>108</v>
      </c>
      <c r="B109">
        <v>0</v>
      </c>
      <c r="C109">
        <f t="shared" si="4"/>
        <v>838</v>
      </c>
      <c r="D109" s="2">
        <f t="shared" si="5"/>
        <v>19.409836065573771</v>
      </c>
    </row>
    <row r="110" spans="1:4" x14ac:dyDescent="0.2">
      <c r="A110">
        <v>109</v>
      </c>
      <c r="B110">
        <v>0</v>
      </c>
      <c r="C110">
        <f t="shared" si="4"/>
        <v>839</v>
      </c>
      <c r="D110" s="2">
        <f t="shared" si="5"/>
        <v>19.409836065573771</v>
      </c>
    </row>
    <row r="111" spans="1:4" x14ac:dyDescent="0.2">
      <c r="A111">
        <v>110</v>
      </c>
      <c r="B111">
        <v>0</v>
      </c>
      <c r="C111">
        <f t="shared" si="4"/>
        <v>840</v>
      </c>
      <c r="D111" s="2">
        <f t="shared" si="5"/>
        <v>19.409836065573771</v>
      </c>
    </row>
    <row r="112" spans="1:4" x14ac:dyDescent="0.2">
      <c r="A112">
        <v>111</v>
      </c>
      <c r="B112">
        <v>0</v>
      </c>
      <c r="C112">
        <f t="shared" si="4"/>
        <v>841</v>
      </c>
      <c r="D112" s="2">
        <f t="shared" si="5"/>
        <v>19.409836065573771</v>
      </c>
    </row>
    <row r="113" spans="1:4" x14ac:dyDescent="0.2">
      <c r="A113">
        <v>112</v>
      </c>
      <c r="B113">
        <v>0</v>
      </c>
      <c r="C113">
        <f t="shared" si="4"/>
        <v>842</v>
      </c>
      <c r="D113" s="2">
        <f t="shared" si="5"/>
        <v>19.409836065573771</v>
      </c>
    </row>
    <row r="114" spans="1:4" x14ac:dyDescent="0.2">
      <c r="A114">
        <v>113</v>
      </c>
      <c r="B114">
        <v>0</v>
      </c>
      <c r="C114">
        <f t="shared" si="4"/>
        <v>843</v>
      </c>
      <c r="D114" s="2">
        <f t="shared" si="5"/>
        <v>19.409836065573771</v>
      </c>
    </row>
    <row r="115" spans="1:4" x14ac:dyDescent="0.2">
      <c r="A115">
        <v>114</v>
      </c>
      <c r="B115">
        <v>0</v>
      </c>
      <c r="C115">
        <f t="shared" si="4"/>
        <v>844</v>
      </c>
      <c r="D115" s="2">
        <f t="shared" si="5"/>
        <v>19.409836065573771</v>
      </c>
    </row>
    <row r="116" spans="1:4" x14ac:dyDescent="0.2">
      <c r="A116">
        <v>115</v>
      </c>
      <c r="B116">
        <v>0</v>
      </c>
      <c r="C116">
        <f t="shared" si="4"/>
        <v>845</v>
      </c>
      <c r="D116" s="2">
        <f t="shared" si="5"/>
        <v>19.409836065573771</v>
      </c>
    </row>
    <row r="117" spans="1:4" x14ac:dyDescent="0.2">
      <c r="A117">
        <v>116</v>
      </c>
      <c r="B117">
        <v>0</v>
      </c>
      <c r="C117">
        <f t="shared" si="4"/>
        <v>846</v>
      </c>
      <c r="D117" s="2">
        <f t="shared" si="5"/>
        <v>19.409836065573771</v>
      </c>
    </row>
    <row r="118" spans="1:4" x14ac:dyDescent="0.2">
      <c r="A118">
        <v>117</v>
      </c>
      <c r="B118">
        <v>0</v>
      </c>
      <c r="C118">
        <f t="shared" si="4"/>
        <v>847</v>
      </c>
      <c r="D118" s="2">
        <f t="shared" si="5"/>
        <v>19.409836065573771</v>
      </c>
    </row>
    <row r="119" spans="1:4" x14ac:dyDescent="0.2">
      <c r="A119">
        <v>118</v>
      </c>
      <c r="B119">
        <v>0</v>
      </c>
      <c r="C119">
        <f t="shared" si="4"/>
        <v>848</v>
      </c>
      <c r="D119" s="2">
        <f t="shared" si="5"/>
        <v>19.409836065573771</v>
      </c>
    </row>
    <row r="120" spans="1:4" x14ac:dyDescent="0.2">
      <c r="A120">
        <v>119</v>
      </c>
      <c r="B120">
        <v>0</v>
      </c>
      <c r="C120">
        <f t="shared" si="4"/>
        <v>849</v>
      </c>
      <c r="D120" s="2">
        <f t="shared" si="5"/>
        <v>19.409836065573771</v>
      </c>
    </row>
    <row r="121" spans="1:4" x14ac:dyDescent="0.2">
      <c r="A121">
        <v>120</v>
      </c>
      <c r="B121">
        <v>0</v>
      </c>
      <c r="C121">
        <f t="shared" si="4"/>
        <v>850</v>
      </c>
      <c r="D121" s="2">
        <f t="shared" si="5"/>
        <v>19.409836065573771</v>
      </c>
    </row>
    <row r="122" spans="1:4" x14ac:dyDescent="0.2">
      <c r="A122">
        <v>121</v>
      </c>
      <c r="B122">
        <v>0</v>
      </c>
      <c r="C122">
        <f t="shared" si="4"/>
        <v>851</v>
      </c>
      <c r="D122" s="2">
        <f t="shared" si="5"/>
        <v>19.409836065573771</v>
      </c>
    </row>
    <row r="123" spans="1:4" x14ac:dyDescent="0.2">
      <c r="A123">
        <v>122</v>
      </c>
      <c r="B123">
        <v>0</v>
      </c>
      <c r="C123">
        <f t="shared" si="4"/>
        <v>852</v>
      </c>
      <c r="D123" s="2">
        <f t="shared" si="5"/>
        <v>19.409836065573771</v>
      </c>
    </row>
    <row r="124" spans="1:4" x14ac:dyDescent="0.2">
      <c r="A124">
        <v>123</v>
      </c>
      <c r="B124">
        <v>0</v>
      </c>
      <c r="C124">
        <f t="shared" si="4"/>
        <v>853</v>
      </c>
      <c r="D124" s="2">
        <f t="shared" si="5"/>
        <v>19.409836065573771</v>
      </c>
    </row>
    <row r="125" spans="1:4" x14ac:dyDescent="0.2">
      <c r="A125">
        <v>124</v>
      </c>
      <c r="B125">
        <v>0</v>
      </c>
      <c r="C125">
        <f t="shared" si="4"/>
        <v>854</v>
      </c>
      <c r="D125" s="2">
        <f t="shared" si="5"/>
        <v>19.409836065573771</v>
      </c>
    </row>
    <row r="126" spans="1:4" x14ac:dyDescent="0.2">
      <c r="A126">
        <v>125</v>
      </c>
      <c r="B126">
        <v>0</v>
      </c>
      <c r="C126">
        <f t="shared" si="4"/>
        <v>855</v>
      </c>
      <c r="D126" s="2">
        <f t="shared" si="5"/>
        <v>19.409836065573771</v>
      </c>
    </row>
    <row r="127" spans="1:4" x14ac:dyDescent="0.2">
      <c r="A127">
        <v>126</v>
      </c>
      <c r="B127">
        <v>0</v>
      </c>
      <c r="C127">
        <f t="shared" si="4"/>
        <v>856</v>
      </c>
      <c r="D127" s="2">
        <f t="shared" si="5"/>
        <v>19.409836065573771</v>
      </c>
    </row>
    <row r="128" spans="1:4" x14ac:dyDescent="0.2">
      <c r="A128">
        <v>127</v>
      </c>
      <c r="B128">
        <v>0</v>
      </c>
      <c r="C128">
        <f t="shared" si="4"/>
        <v>857</v>
      </c>
      <c r="D128" s="2">
        <f t="shared" si="5"/>
        <v>19.409836065573771</v>
      </c>
    </row>
    <row r="129" spans="1:4" x14ac:dyDescent="0.2">
      <c r="A129">
        <v>128</v>
      </c>
      <c r="B129">
        <v>0</v>
      </c>
      <c r="C129">
        <f t="shared" si="4"/>
        <v>858</v>
      </c>
      <c r="D129" s="2">
        <f t="shared" si="5"/>
        <v>19.409836065573771</v>
      </c>
    </row>
    <row r="130" spans="1:4" x14ac:dyDescent="0.2">
      <c r="A130">
        <v>129</v>
      </c>
      <c r="B130">
        <v>0</v>
      </c>
      <c r="C130">
        <f t="shared" si="4"/>
        <v>859</v>
      </c>
      <c r="D130" s="2">
        <f t="shared" si="5"/>
        <v>19.409836065573771</v>
      </c>
    </row>
    <row r="131" spans="1:4" x14ac:dyDescent="0.2">
      <c r="A131">
        <v>130</v>
      </c>
      <c r="B131">
        <v>0</v>
      </c>
      <c r="C131">
        <f t="shared" ref="C131:C194" si="6">A131+730</f>
        <v>860</v>
      </c>
      <c r="D131" s="2">
        <f t="shared" si="5"/>
        <v>19.409836065573771</v>
      </c>
    </row>
    <row r="132" spans="1:4" x14ac:dyDescent="0.2">
      <c r="A132">
        <v>131</v>
      </c>
      <c r="B132">
        <v>0</v>
      </c>
      <c r="C132">
        <f t="shared" si="6"/>
        <v>861</v>
      </c>
      <c r="D132" s="2">
        <f t="shared" ref="D132:D195" si="7">$D$2</f>
        <v>19.409836065573771</v>
      </c>
    </row>
    <row r="133" spans="1:4" x14ac:dyDescent="0.2">
      <c r="A133">
        <v>132</v>
      </c>
      <c r="B133">
        <v>0</v>
      </c>
      <c r="C133">
        <f t="shared" si="6"/>
        <v>862</v>
      </c>
      <c r="D133" s="2">
        <f t="shared" si="7"/>
        <v>19.409836065573771</v>
      </c>
    </row>
    <row r="134" spans="1:4" x14ac:dyDescent="0.2">
      <c r="A134">
        <v>133</v>
      </c>
      <c r="B134">
        <v>0</v>
      </c>
      <c r="C134">
        <f t="shared" si="6"/>
        <v>863</v>
      </c>
      <c r="D134" s="2">
        <f t="shared" si="7"/>
        <v>19.409836065573771</v>
      </c>
    </row>
    <row r="135" spans="1:4" x14ac:dyDescent="0.2">
      <c r="A135">
        <v>134</v>
      </c>
      <c r="B135">
        <v>0</v>
      </c>
      <c r="C135">
        <f t="shared" si="6"/>
        <v>864</v>
      </c>
      <c r="D135" s="2">
        <f t="shared" si="7"/>
        <v>19.409836065573771</v>
      </c>
    </row>
    <row r="136" spans="1:4" x14ac:dyDescent="0.2">
      <c r="A136">
        <v>135</v>
      </c>
      <c r="B136">
        <v>0</v>
      </c>
      <c r="C136">
        <f t="shared" si="6"/>
        <v>865</v>
      </c>
      <c r="D136" s="2">
        <f t="shared" si="7"/>
        <v>19.409836065573771</v>
      </c>
    </row>
    <row r="137" spans="1:4" x14ac:dyDescent="0.2">
      <c r="A137">
        <v>136</v>
      </c>
      <c r="B137">
        <v>0</v>
      </c>
      <c r="C137">
        <f t="shared" si="6"/>
        <v>866</v>
      </c>
      <c r="D137" s="2">
        <f t="shared" si="7"/>
        <v>19.409836065573771</v>
      </c>
    </row>
    <row r="138" spans="1:4" x14ac:dyDescent="0.2">
      <c r="A138">
        <v>137</v>
      </c>
      <c r="B138">
        <v>0</v>
      </c>
      <c r="C138">
        <f t="shared" si="6"/>
        <v>867</v>
      </c>
      <c r="D138" s="2">
        <f t="shared" si="7"/>
        <v>19.409836065573771</v>
      </c>
    </row>
    <row r="139" spans="1:4" x14ac:dyDescent="0.2">
      <c r="A139">
        <v>138</v>
      </c>
      <c r="B139">
        <v>0</v>
      </c>
      <c r="C139">
        <f t="shared" si="6"/>
        <v>868</v>
      </c>
      <c r="D139" s="2">
        <f t="shared" si="7"/>
        <v>19.409836065573771</v>
      </c>
    </row>
    <row r="140" spans="1:4" x14ac:dyDescent="0.2">
      <c r="A140">
        <v>139</v>
      </c>
      <c r="B140">
        <v>0</v>
      </c>
      <c r="C140">
        <f t="shared" si="6"/>
        <v>869</v>
      </c>
      <c r="D140" s="2">
        <f t="shared" si="7"/>
        <v>19.409836065573771</v>
      </c>
    </row>
    <row r="141" spans="1:4" x14ac:dyDescent="0.2">
      <c r="A141">
        <v>140</v>
      </c>
      <c r="B141">
        <v>0</v>
      </c>
      <c r="C141">
        <f t="shared" si="6"/>
        <v>870</v>
      </c>
      <c r="D141" s="2">
        <f t="shared" si="7"/>
        <v>19.409836065573771</v>
      </c>
    </row>
    <row r="142" spans="1:4" x14ac:dyDescent="0.2">
      <c r="A142">
        <v>141</v>
      </c>
      <c r="B142">
        <v>0</v>
      </c>
      <c r="C142">
        <f t="shared" si="6"/>
        <v>871</v>
      </c>
      <c r="D142" s="2">
        <f t="shared" si="7"/>
        <v>19.409836065573771</v>
      </c>
    </row>
    <row r="143" spans="1:4" x14ac:dyDescent="0.2">
      <c r="A143">
        <v>142</v>
      </c>
      <c r="B143">
        <v>0</v>
      </c>
      <c r="C143">
        <f t="shared" si="6"/>
        <v>872</v>
      </c>
      <c r="D143" s="2">
        <f t="shared" si="7"/>
        <v>19.409836065573771</v>
      </c>
    </row>
    <row r="144" spans="1:4" x14ac:dyDescent="0.2">
      <c r="A144">
        <v>143</v>
      </c>
      <c r="B144">
        <v>0</v>
      </c>
      <c r="C144">
        <f t="shared" si="6"/>
        <v>873</v>
      </c>
      <c r="D144" s="2">
        <f t="shared" si="7"/>
        <v>19.409836065573771</v>
      </c>
    </row>
    <row r="145" spans="1:4" x14ac:dyDescent="0.2">
      <c r="A145">
        <v>144</v>
      </c>
      <c r="B145">
        <v>0</v>
      </c>
      <c r="C145">
        <f t="shared" si="6"/>
        <v>874</v>
      </c>
      <c r="D145" s="2">
        <f t="shared" si="7"/>
        <v>19.409836065573771</v>
      </c>
    </row>
    <row r="146" spans="1:4" x14ac:dyDescent="0.2">
      <c r="A146">
        <v>145</v>
      </c>
      <c r="B146">
        <v>0</v>
      </c>
      <c r="C146">
        <f t="shared" si="6"/>
        <v>875</v>
      </c>
      <c r="D146" s="2">
        <f t="shared" si="7"/>
        <v>19.409836065573771</v>
      </c>
    </row>
    <row r="147" spans="1:4" x14ac:dyDescent="0.2">
      <c r="A147">
        <v>146</v>
      </c>
      <c r="B147">
        <v>0</v>
      </c>
      <c r="C147">
        <f t="shared" si="6"/>
        <v>876</v>
      </c>
      <c r="D147" s="2">
        <f t="shared" si="7"/>
        <v>19.409836065573771</v>
      </c>
    </row>
    <row r="148" spans="1:4" x14ac:dyDescent="0.2">
      <c r="A148">
        <v>147</v>
      </c>
      <c r="B148">
        <v>0</v>
      </c>
      <c r="C148">
        <f t="shared" si="6"/>
        <v>877</v>
      </c>
      <c r="D148" s="2">
        <f t="shared" si="7"/>
        <v>19.409836065573771</v>
      </c>
    </row>
    <row r="149" spans="1:4" x14ac:dyDescent="0.2">
      <c r="A149">
        <v>148</v>
      </c>
      <c r="B149">
        <v>0</v>
      </c>
      <c r="C149">
        <f t="shared" si="6"/>
        <v>878</v>
      </c>
      <c r="D149" s="2">
        <f t="shared" si="7"/>
        <v>19.409836065573771</v>
      </c>
    </row>
    <row r="150" spans="1:4" x14ac:dyDescent="0.2">
      <c r="A150">
        <v>149</v>
      </c>
      <c r="B150">
        <v>0</v>
      </c>
      <c r="C150">
        <f t="shared" si="6"/>
        <v>879</v>
      </c>
      <c r="D150" s="2">
        <f t="shared" si="7"/>
        <v>19.409836065573771</v>
      </c>
    </row>
    <row r="151" spans="1:4" x14ac:dyDescent="0.2">
      <c r="A151">
        <v>150</v>
      </c>
      <c r="B151">
        <v>0</v>
      </c>
      <c r="C151">
        <f t="shared" si="6"/>
        <v>880</v>
      </c>
      <c r="D151" s="2">
        <f t="shared" si="7"/>
        <v>19.409836065573771</v>
      </c>
    </row>
    <row r="152" spans="1:4" x14ac:dyDescent="0.2">
      <c r="A152">
        <v>151</v>
      </c>
      <c r="B152">
        <v>0</v>
      </c>
      <c r="C152">
        <f t="shared" si="6"/>
        <v>881</v>
      </c>
      <c r="D152" s="2">
        <f t="shared" si="7"/>
        <v>19.409836065573771</v>
      </c>
    </row>
    <row r="153" spans="1:4" x14ac:dyDescent="0.2">
      <c r="A153">
        <v>152</v>
      </c>
      <c r="B153">
        <v>0</v>
      </c>
      <c r="C153">
        <f t="shared" si="6"/>
        <v>882</v>
      </c>
      <c r="D153" s="2">
        <f t="shared" si="7"/>
        <v>19.409836065573771</v>
      </c>
    </row>
    <row r="154" spans="1:4" x14ac:dyDescent="0.2">
      <c r="A154">
        <v>153</v>
      </c>
      <c r="B154">
        <v>0</v>
      </c>
      <c r="C154">
        <f t="shared" si="6"/>
        <v>883</v>
      </c>
      <c r="D154" s="2">
        <f t="shared" si="7"/>
        <v>19.409836065573771</v>
      </c>
    </row>
    <row r="155" spans="1:4" x14ac:dyDescent="0.2">
      <c r="A155">
        <v>154</v>
      </c>
      <c r="B155">
        <v>0</v>
      </c>
      <c r="C155">
        <f t="shared" si="6"/>
        <v>884</v>
      </c>
      <c r="D155" s="2">
        <f t="shared" si="7"/>
        <v>19.409836065573771</v>
      </c>
    </row>
    <row r="156" spans="1:4" x14ac:dyDescent="0.2">
      <c r="A156">
        <v>155</v>
      </c>
      <c r="B156">
        <v>0</v>
      </c>
      <c r="C156">
        <f t="shared" si="6"/>
        <v>885</v>
      </c>
      <c r="D156" s="2">
        <f t="shared" si="7"/>
        <v>19.409836065573771</v>
      </c>
    </row>
    <row r="157" spans="1:4" x14ac:dyDescent="0.2">
      <c r="A157">
        <v>156</v>
      </c>
      <c r="B157">
        <v>0</v>
      </c>
      <c r="C157">
        <f t="shared" si="6"/>
        <v>886</v>
      </c>
      <c r="D157" s="2">
        <f t="shared" si="7"/>
        <v>19.409836065573771</v>
      </c>
    </row>
    <row r="158" spans="1:4" x14ac:dyDescent="0.2">
      <c r="A158">
        <v>157</v>
      </c>
      <c r="B158">
        <v>0</v>
      </c>
      <c r="C158">
        <f t="shared" si="6"/>
        <v>887</v>
      </c>
      <c r="D158" s="2">
        <f t="shared" si="7"/>
        <v>19.409836065573771</v>
      </c>
    </row>
    <row r="159" spans="1:4" x14ac:dyDescent="0.2">
      <c r="A159">
        <v>158</v>
      </c>
      <c r="B159">
        <v>0</v>
      </c>
      <c r="C159">
        <f t="shared" si="6"/>
        <v>888</v>
      </c>
      <c r="D159" s="2">
        <f t="shared" si="7"/>
        <v>19.409836065573771</v>
      </c>
    </row>
    <row r="160" spans="1:4" x14ac:dyDescent="0.2">
      <c r="A160">
        <v>159</v>
      </c>
      <c r="B160">
        <v>0</v>
      </c>
      <c r="C160">
        <f t="shared" si="6"/>
        <v>889</v>
      </c>
      <c r="D160" s="2">
        <f t="shared" si="7"/>
        <v>19.409836065573771</v>
      </c>
    </row>
    <row r="161" spans="1:4" x14ac:dyDescent="0.2">
      <c r="A161">
        <v>160</v>
      </c>
      <c r="B161">
        <v>0</v>
      </c>
      <c r="C161">
        <f t="shared" si="6"/>
        <v>890</v>
      </c>
      <c r="D161" s="2">
        <f t="shared" si="7"/>
        <v>19.409836065573771</v>
      </c>
    </row>
    <row r="162" spans="1:4" x14ac:dyDescent="0.2">
      <c r="A162">
        <v>161</v>
      </c>
      <c r="B162">
        <v>0</v>
      </c>
      <c r="C162">
        <f t="shared" si="6"/>
        <v>891</v>
      </c>
      <c r="D162" s="2">
        <f t="shared" si="7"/>
        <v>19.409836065573771</v>
      </c>
    </row>
    <row r="163" spans="1:4" x14ac:dyDescent="0.2">
      <c r="A163">
        <v>162</v>
      </c>
      <c r="B163">
        <v>0</v>
      </c>
      <c r="C163">
        <f t="shared" si="6"/>
        <v>892</v>
      </c>
      <c r="D163" s="2">
        <f t="shared" si="7"/>
        <v>19.409836065573771</v>
      </c>
    </row>
    <row r="164" spans="1:4" x14ac:dyDescent="0.2">
      <c r="A164">
        <v>163</v>
      </c>
      <c r="B164">
        <v>0</v>
      </c>
      <c r="C164">
        <f t="shared" si="6"/>
        <v>893</v>
      </c>
      <c r="D164" s="2">
        <f t="shared" si="7"/>
        <v>19.409836065573771</v>
      </c>
    </row>
    <row r="165" spans="1:4" x14ac:dyDescent="0.2">
      <c r="A165">
        <v>164</v>
      </c>
      <c r="B165">
        <v>0</v>
      </c>
      <c r="C165">
        <f t="shared" si="6"/>
        <v>894</v>
      </c>
      <c r="D165" s="2">
        <f t="shared" si="7"/>
        <v>19.409836065573771</v>
      </c>
    </row>
    <row r="166" spans="1:4" x14ac:dyDescent="0.2">
      <c r="A166">
        <v>165</v>
      </c>
      <c r="B166">
        <v>0</v>
      </c>
      <c r="C166">
        <f t="shared" si="6"/>
        <v>895</v>
      </c>
      <c r="D166" s="2">
        <f t="shared" si="7"/>
        <v>19.409836065573771</v>
      </c>
    </row>
    <row r="167" spans="1:4" x14ac:dyDescent="0.2">
      <c r="A167">
        <v>166</v>
      </c>
      <c r="B167">
        <v>0</v>
      </c>
      <c r="C167">
        <f t="shared" si="6"/>
        <v>896</v>
      </c>
      <c r="D167" s="2">
        <f t="shared" si="7"/>
        <v>19.409836065573771</v>
      </c>
    </row>
    <row r="168" spans="1:4" x14ac:dyDescent="0.2">
      <c r="A168">
        <v>167</v>
      </c>
      <c r="B168">
        <v>0</v>
      </c>
      <c r="C168">
        <f t="shared" si="6"/>
        <v>897</v>
      </c>
      <c r="D168" s="2">
        <f t="shared" si="7"/>
        <v>19.409836065573771</v>
      </c>
    </row>
    <row r="169" spans="1:4" x14ac:dyDescent="0.2">
      <c r="A169">
        <v>168</v>
      </c>
      <c r="B169">
        <v>0</v>
      </c>
      <c r="C169">
        <f t="shared" si="6"/>
        <v>898</v>
      </c>
      <c r="D169" s="2">
        <f t="shared" si="7"/>
        <v>19.409836065573771</v>
      </c>
    </row>
    <row r="170" spans="1:4" x14ac:dyDescent="0.2">
      <c r="A170">
        <v>169</v>
      </c>
      <c r="B170">
        <v>0</v>
      </c>
      <c r="C170">
        <f t="shared" si="6"/>
        <v>899</v>
      </c>
      <c r="D170" s="2">
        <f t="shared" si="7"/>
        <v>19.409836065573771</v>
      </c>
    </row>
    <row r="171" spans="1:4" x14ac:dyDescent="0.2">
      <c r="A171">
        <v>170</v>
      </c>
      <c r="B171">
        <v>0</v>
      </c>
      <c r="C171">
        <f t="shared" si="6"/>
        <v>900</v>
      </c>
      <c r="D171" s="2">
        <f t="shared" si="7"/>
        <v>19.409836065573771</v>
      </c>
    </row>
    <row r="172" spans="1:4" x14ac:dyDescent="0.2">
      <c r="A172">
        <v>171</v>
      </c>
      <c r="B172">
        <v>0</v>
      </c>
      <c r="C172">
        <f t="shared" si="6"/>
        <v>901</v>
      </c>
      <c r="D172" s="2">
        <f t="shared" si="7"/>
        <v>19.409836065573771</v>
      </c>
    </row>
    <row r="173" spans="1:4" x14ac:dyDescent="0.2">
      <c r="A173">
        <v>172</v>
      </c>
      <c r="B173">
        <v>0</v>
      </c>
      <c r="C173">
        <f t="shared" si="6"/>
        <v>902</v>
      </c>
      <c r="D173" s="2">
        <f t="shared" si="7"/>
        <v>19.409836065573771</v>
      </c>
    </row>
    <row r="174" spans="1:4" x14ac:dyDescent="0.2">
      <c r="A174">
        <v>173</v>
      </c>
      <c r="B174">
        <v>0</v>
      </c>
      <c r="C174">
        <f t="shared" si="6"/>
        <v>903</v>
      </c>
      <c r="D174" s="2">
        <f t="shared" si="7"/>
        <v>19.409836065573771</v>
      </c>
    </row>
    <row r="175" spans="1:4" x14ac:dyDescent="0.2">
      <c r="A175">
        <v>174</v>
      </c>
      <c r="B175">
        <v>0</v>
      </c>
      <c r="C175">
        <f t="shared" si="6"/>
        <v>904</v>
      </c>
      <c r="D175" s="2">
        <f t="shared" si="7"/>
        <v>19.409836065573771</v>
      </c>
    </row>
    <row r="176" spans="1:4" x14ac:dyDescent="0.2">
      <c r="A176">
        <v>175</v>
      </c>
      <c r="B176">
        <v>0</v>
      </c>
      <c r="C176">
        <f t="shared" si="6"/>
        <v>905</v>
      </c>
      <c r="D176" s="2">
        <f t="shared" si="7"/>
        <v>19.409836065573771</v>
      </c>
    </row>
    <row r="177" spans="1:4" x14ac:dyDescent="0.2">
      <c r="A177">
        <v>176</v>
      </c>
      <c r="B177">
        <v>0</v>
      </c>
      <c r="C177">
        <f t="shared" si="6"/>
        <v>906</v>
      </c>
      <c r="D177" s="2">
        <f t="shared" si="7"/>
        <v>19.409836065573771</v>
      </c>
    </row>
    <row r="178" spans="1:4" x14ac:dyDescent="0.2">
      <c r="A178">
        <v>177</v>
      </c>
      <c r="B178">
        <v>0</v>
      </c>
      <c r="C178">
        <f t="shared" si="6"/>
        <v>907</v>
      </c>
      <c r="D178" s="2">
        <f t="shared" si="7"/>
        <v>19.409836065573771</v>
      </c>
    </row>
    <row r="179" spans="1:4" x14ac:dyDescent="0.2">
      <c r="A179">
        <v>178</v>
      </c>
      <c r="B179">
        <v>0</v>
      </c>
      <c r="C179">
        <f t="shared" si="6"/>
        <v>908</v>
      </c>
      <c r="D179" s="2">
        <f t="shared" si="7"/>
        <v>19.409836065573771</v>
      </c>
    </row>
    <row r="180" spans="1:4" x14ac:dyDescent="0.2">
      <c r="A180">
        <v>179</v>
      </c>
      <c r="B180">
        <v>0</v>
      </c>
      <c r="C180">
        <f t="shared" si="6"/>
        <v>909</v>
      </c>
      <c r="D180" s="2">
        <f t="shared" si="7"/>
        <v>19.409836065573771</v>
      </c>
    </row>
    <row r="181" spans="1:4" x14ac:dyDescent="0.2">
      <c r="A181">
        <v>180</v>
      </c>
      <c r="B181">
        <v>0</v>
      </c>
      <c r="C181">
        <f t="shared" si="6"/>
        <v>910</v>
      </c>
      <c r="D181" s="2">
        <f t="shared" si="7"/>
        <v>19.409836065573771</v>
      </c>
    </row>
    <row r="182" spans="1:4" x14ac:dyDescent="0.2">
      <c r="A182">
        <v>181</v>
      </c>
      <c r="B182">
        <v>0</v>
      </c>
      <c r="C182">
        <f t="shared" si="6"/>
        <v>911</v>
      </c>
      <c r="D182" s="2">
        <f t="shared" si="7"/>
        <v>19.409836065573771</v>
      </c>
    </row>
    <row r="183" spans="1:4" x14ac:dyDescent="0.2">
      <c r="A183">
        <v>182</v>
      </c>
      <c r="B183">
        <v>0</v>
      </c>
      <c r="C183">
        <f t="shared" si="6"/>
        <v>912</v>
      </c>
      <c r="D183" s="2">
        <f t="shared" si="7"/>
        <v>19.409836065573771</v>
      </c>
    </row>
    <row r="184" spans="1:4" x14ac:dyDescent="0.2">
      <c r="A184">
        <v>183</v>
      </c>
      <c r="B184">
        <v>0</v>
      </c>
      <c r="C184">
        <f t="shared" si="6"/>
        <v>913</v>
      </c>
      <c r="D184" s="2">
        <f t="shared" si="7"/>
        <v>19.409836065573771</v>
      </c>
    </row>
    <row r="185" spans="1:4" x14ac:dyDescent="0.2">
      <c r="A185">
        <v>184</v>
      </c>
      <c r="B185">
        <v>0</v>
      </c>
      <c r="C185">
        <f t="shared" si="6"/>
        <v>914</v>
      </c>
      <c r="D185" s="2">
        <f t="shared" si="7"/>
        <v>19.409836065573771</v>
      </c>
    </row>
    <row r="186" spans="1:4" x14ac:dyDescent="0.2">
      <c r="A186">
        <v>185</v>
      </c>
      <c r="B186">
        <v>0</v>
      </c>
      <c r="C186">
        <f t="shared" si="6"/>
        <v>915</v>
      </c>
      <c r="D186" s="2">
        <f t="shared" si="7"/>
        <v>19.409836065573771</v>
      </c>
    </row>
    <row r="187" spans="1:4" x14ac:dyDescent="0.2">
      <c r="A187">
        <v>186</v>
      </c>
      <c r="B187">
        <v>0</v>
      </c>
      <c r="C187">
        <f t="shared" si="6"/>
        <v>916</v>
      </c>
      <c r="D187" s="2">
        <f t="shared" si="7"/>
        <v>19.409836065573771</v>
      </c>
    </row>
    <row r="188" spans="1:4" x14ac:dyDescent="0.2">
      <c r="A188">
        <v>187</v>
      </c>
      <c r="B188">
        <v>0</v>
      </c>
      <c r="C188">
        <f t="shared" si="6"/>
        <v>917</v>
      </c>
      <c r="D188" s="2">
        <f t="shared" si="7"/>
        <v>19.409836065573771</v>
      </c>
    </row>
    <row r="189" spans="1:4" x14ac:dyDescent="0.2">
      <c r="A189">
        <v>188</v>
      </c>
      <c r="B189">
        <v>0</v>
      </c>
      <c r="C189">
        <f t="shared" si="6"/>
        <v>918</v>
      </c>
      <c r="D189" s="2">
        <f t="shared" si="7"/>
        <v>19.409836065573771</v>
      </c>
    </row>
    <row r="190" spans="1:4" x14ac:dyDescent="0.2">
      <c r="A190">
        <v>189</v>
      </c>
      <c r="B190">
        <v>0</v>
      </c>
      <c r="C190">
        <f t="shared" si="6"/>
        <v>919</v>
      </c>
      <c r="D190" s="2">
        <f t="shared" si="7"/>
        <v>19.409836065573771</v>
      </c>
    </row>
    <row r="191" spans="1:4" x14ac:dyDescent="0.2">
      <c r="A191">
        <v>190</v>
      </c>
      <c r="B191">
        <v>0</v>
      </c>
      <c r="C191">
        <f t="shared" si="6"/>
        <v>920</v>
      </c>
      <c r="D191" s="2">
        <f t="shared" si="7"/>
        <v>19.409836065573771</v>
      </c>
    </row>
    <row r="192" spans="1:4" x14ac:dyDescent="0.2">
      <c r="A192">
        <v>191</v>
      </c>
      <c r="B192">
        <v>0</v>
      </c>
      <c r="C192">
        <f t="shared" si="6"/>
        <v>921</v>
      </c>
      <c r="D192" s="2">
        <f t="shared" si="7"/>
        <v>19.409836065573771</v>
      </c>
    </row>
    <row r="193" spans="1:4" x14ac:dyDescent="0.2">
      <c r="A193">
        <v>192</v>
      </c>
      <c r="B193">
        <v>0</v>
      </c>
      <c r="C193">
        <f t="shared" si="6"/>
        <v>922</v>
      </c>
      <c r="D193" s="2">
        <f t="shared" si="7"/>
        <v>19.409836065573771</v>
      </c>
    </row>
    <row r="194" spans="1:4" x14ac:dyDescent="0.2">
      <c r="A194">
        <v>193</v>
      </c>
      <c r="B194">
        <v>0</v>
      </c>
      <c r="C194">
        <f t="shared" si="6"/>
        <v>923</v>
      </c>
      <c r="D194" s="2">
        <f t="shared" si="7"/>
        <v>19.409836065573771</v>
      </c>
    </row>
    <row r="195" spans="1:4" x14ac:dyDescent="0.2">
      <c r="A195">
        <v>194</v>
      </c>
      <c r="B195">
        <v>0</v>
      </c>
      <c r="C195">
        <f t="shared" ref="C195:C258" si="8">A195+730</f>
        <v>924</v>
      </c>
      <c r="D195" s="2">
        <f t="shared" si="7"/>
        <v>19.409836065573771</v>
      </c>
    </row>
    <row r="196" spans="1:4" x14ac:dyDescent="0.2">
      <c r="A196">
        <v>195</v>
      </c>
      <c r="B196">
        <v>0</v>
      </c>
      <c r="C196">
        <f t="shared" si="8"/>
        <v>925</v>
      </c>
      <c r="D196" s="2">
        <f t="shared" ref="D196:D259" si="9">$D$2</f>
        <v>19.409836065573771</v>
      </c>
    </row>
    <row r="197" spans="1:4" x14ac:dyDescent="0.2">
      <c r="A197">
        <v>196</v>
      </c>
      <c r="B197">
        <v>0</v>
      </c>
      <c r="C197">
        <f t="shared" si="8"/>
        <v>926</v>
      </c>
      <c r="D197" s="2">
        <f t="shared" si="9"/>
        <v>19.409836065573771</v>
      </c>
    </row>
    <row r="198" spans="1:4" x14ac:dyDescent="0.2">
      <c r="A198">
        <v>197</v>
      </c>
      <c r="B198">
        <v>0</v>
      </c>
      <c r="C198">
        <f t="shared" si="8"/>
        <v>927</v>
      </c>
      <c r="D198" s="2">
        <f t="shared" si="9"/>
        <v>19.409836065573771</v>
      </c>
    </row>
    <row r="199" spans="1:4" x14ac:dyDescent="0.2">
      <c r="A199">
        <v>198</v>
      </c>
      <c r="B199">
        <v>0</v>
      </c>
      <c r="C199">
        <f t="shared" si="8"/>
        <v>928</v>
      </c>
      <c r="D199" s="2">
        <f t="shared" si="9"/>
        <v>19.409836065573771</v>
      </c>
    </row>
    <row r="200" spans="1:4" x14ac:dyDescent="0.2">
      <c r="A200">
        <v>199</v>
      </c>
      <c r="B200">
        <v>0</v>
      </c>
      <c r="C200">
        <f t="shared" si="8"/>
        <v>929</v>
      </c>
      <c r="D200" s="2">
        <f t="shared" si="9"/>
        <v>19.409836065573771</v>
      </c>
    </row>
    <row r="201" spans="1:4" x14ac:dyDescent="0.2">
      <c r="A201">
        <v>200</v>
      </c>
      <c r="B201">
        <v>0</v>
      </c>
      <c r="C201">
        <f t="shared" si="8"/>
        <v>930</v>
      </c>
      <c r="D201" s="2">
        <f t="shared" si="9"/>
        <v>19.409836065573771</v>
      </c>
    </row>
    <row r="202" spans="1:4" x14ac:dyDescent="0.2">
      <c r="A202">
        <v>201</v>
      </c>
      <c r="B202">
        <v>0</v>
      </c>
      <c r="C202">
        <f t="shared" si="8"/>
        <v>931</v>
      </c>
      <c r="D202" s="2">
        <f t="shared" si="9"/>
        <v>19.409836065573771</v>
      </c>
    </row>
    <row r="203" spans="1:4" x14ac:dyDescent="0.2">
      <c r="A203">
        <v>202</v>
      </c>
      <c r="B203">
        <v>0</v>
      </c>
      <c r="C203">
        <f t="shared" si="8"/>
        <v>932</v>
      </c>
      <c r="D203" s="2">
        <f t="shared" si="9"/>
        <v>19.409836065573771</v>
      </c>
    </row>
    <row r="204" spans="1:4" x14ac:dyDescent="0.2">
      <c r="A204">
        <v>203</v>
      </c>
      <c r="B204">
        <v>0</v>
      </c>
      <c r="C204">
        <f t="shared" si="8"/>
        <v>933</v>
      </c>
      <c r="D204" s="2">
        <f t="shared" si="9"/>
        <v>19.409836065573771</v>
      </c>
    </row>
    <row r="205" spans="1:4" x14ac:dyDescent="0.2">
      <c r="A205">
        <v>204</v>
      </c>
      <c r="B205">
        <v>0</v>
      </c>
      <c r="C205">
        <f t="shared" si="8"/>
        <v>934</v>
      </c>
      <c r="D205" s="2">
        <f t="shared" si="9"/>
        <v>19.409836065573771</v>
      </c>
    </row>
    <row r="206" spans="1:4" x14ac:dyDescent="0.2">
      <c r="A206">
        <v>205</v>
      </c>
      <c r="B206">
        <v>0</v>
      </c>
      <c r="C206">
        <f t="shared" si="8"/>
        <v>935</v>
      </c>
      <c r="D206" s="2">
        <f t="shared" si="9"/>
        <v>19.409836065573771</v>
      </c>
    </row>
    <row r="207" spans="1:4" x14ac:dyDescent="0.2">
      <c r="A207">
        <v>206</v>
      </c>
      <c r="B207">
        <v>0</v>
      </c>
      <c r="C207">
        <f t="shared" si="8"/>
        <v>936</v>
      </c>
      <c r="D207" s="2">
        <f t="shared" si="9"/>
        <v>19.409836065573771</v>
      </c>
    </row>
    <row r="208" spans="1:4" x14ac:dyDescent="0.2">
      <c r="A208">
        <v>207</v>
      </c>
      <c r="B208">
        <v>0</v>
      </c>
      <c r="C208">
        <f t="shared" si="8"/>
        <v>937</v>
      </c>
      <c r="D208" s="2">
        <f t="shared" si="9"/>
        <v>19.409836065573771</v>
      </c>
    </row>
    <row r="209" spans="1:4" x14ac:dyDescent="0.2">
      <c r="A209">
        <v>208</v>
      </c>
      <c r="B209">
        <v>0</v>
      </c>
      <c r="C209">
        <f t="shared" si="8"/>
        <v>938</v>
      </c>
      <c r="D209" s="2">
        <f t="shared" si="9"/>
        <v>19.409836065573771</v>
      </c>
    </row>
    <row r="210" spans="1:4" x14ac:dyDescent="0.2">
      <c r="A210">
        <v>209</v>
      </c>
      <c r="B210">
        <v>0</v>
      </c>
      <c r="C210">
        <f t="shared" si="8"/>
        <v>939</v>
      </c>
      <c r="D210" s="2">
        <f t="shared" si="9"/>
        <v>19.409836065573771</v>
      </c>
    </row>
    <row r="211" spans="1:4" x14ac:dyDescent="0.2">
      <c r="A211">
        <v>210</v>
      </c>
      <c r="B211">
        <v>0</v>
      </c>
      <c r="C211">
        <f t="shared" si="8"/>
        <v>940</v>
      </c>
      <c r="D211" s="2">
        <f t="shared" si="9"/>
        <v>19.409836065573771</v>
      </c>
    </row>
    <row r="212" spans="1:4" x14ac:dyDescent="0.2">
      <c r="A212">
        <v>211</v>
      </c>
      <c r="B212">
        <v>0</v>
      </c>
      <c r="C212">
        <f t="shared" si="8"/>
        <v>941</v>
      </c>
      <c r="D212" s="2">
        <f t="shared" si="9"/>
        <v>19.409836065573771</v>
      </c>
    </row>
    <row r="213" spans="1:4" x14ac:dyDescent="0.2">
      <c r="A213">
        <v>212</v>
      </c>
      <c r="B213">
        <v>0</v>
      </c>
      <c r="C213">
        <f t="shared" si="8"/>
        <v>942</v>
      </c>
      <c r="D213" s="2">
        <f t="shared" si="9"/>
        <v>19.409836065573771</v>
      </c>
    </row>
    <row r="214" spans="1:4" x14ac:dyDescent="0.2">
      <c r="A214">
        <v>213</v>
      </c>
      <c r="B214">
        <v>0</v>
      </c>
      <c r="C214">
        <f t="shared" si="8"/>
        <v>943</v>
      </c>
      <c r="D214" s="2">
        <f t="shared" si="9"/>
        <v>19.409836065573771</v>
      </c>
    </row>
    <row r="215" spans="1:4" x14ac:dyDescent="0.2">
      <c r="A215">
        <v>214</v>
      </c>
      <c r="B215">
        <v>0</v>
      </c>
      <c r="C215">
        <f t="shared" si="8"/>
        <v>944</v>
      </c>
      <c r="D215" s="2">
        <f t="shared" si="9"/>
        <v>19.409836065573771</v>
      </c>
    </row>
    <row r="216" spans="1:4" x14ac:dyDescent="0.2">
      <c r="A216">
        <v>215</v>
      </c>
      <c r="B216">
        <v>0</v>
      </c>
      <c r="C216">
        <f t="shared" si="8"/>
        <v>945</v>
      </c>
      <c r="D216" s="2">
        <f t="shared" si="9"/>
        <v>19.409836065573771</v>
      </c>
    </row>
    <row r="217" spans="1:4" x14ac:dyDescent="0.2">
      <c r="A217">
        <v>216</v>
      </c>
      <c r="B217">
        <v>0</v>
      </c>
      <c r="C217">
        <f t="shared" si="8"/>
        <v>946</v>
      </c>
      <c r="D217" s="2">
        <f t="shared" si="9"/>
        <v>19.409836065573771</v>
      </c>
    </row>
    <row r="218" spans="1:4" x14ac:dyDescent="0.2">
      <c r="A218">
        <v>217</v>
      </c>
      <c r="B218">
        <v>0</v>
      </c>
      <c r="C218">
        <f t="shared" si="8"/>
        <v>947</v>
      </c>
      <c r="D218" s="2">
        <f t="shared" si="9"/>
        <v>19.409836065573771</v>
      </c>
    </row>
    <row r="219" spans="1:4" x14ac:dyDescent="0.2">
      <c r="A219">
        <v>218</v>
      </c>
      <c r="B219">
        <v>0</v>
      </c>
      <c r="C219">
        <f t="shared" si="8"/>
        <v>948</v>
      </c>
      <c r="D219" s="2">
        <f t="shared" si="9"/>
        <v>19.409836065573771</v>
      </c>
    </row>
    <row r="220" spans="1:4" x14ac:dyDescent="0.2">
      <c r="A220">
        <v>219</v>
      </c>
      <c r="B220">
        <v>0</v>
      </c>
      <c r="C220">
        <f t="shared" si="8"/>
        <v>949</v>
      </c>
      <c r="D220" s="2">
        <f t="shared" si="9"/>
        <v>19.409836065573771</v>
      </c>
    </row>
    <row r="221" spans="1:4" x14ac:dyDescent="0.2">
      <c r="A221">
        <v>220</v>
      </c>
      <c r="B221">
        <v>0</v>
      </c>
      <c r="C221">
        <f t="shared" si="8"/>
        <v>950</v>
      </c>
      <c r="D221" s="2">
        <f t="shared" si="9"/>
        <v>19.409836065573771</v>
      </c>
    </row>
    <row r="222" spans="1:4" x14ac:dyDescent="0.2">
      <c r="A222">
        <v>221</v>
      </c>
      <c r="B222">
        <v>0</v>
      </c>
      <c r="C222">
        <f t="shared" si="8"/>
        <v>951</v>
      </c>
      <c r="D222" s="2">
        <f t="shared" si="9"/>
        <v>19.409836065573771</v>
      </c>
    </row>
    <row r="223" spans="1:4" x14ac:dyDescent="0.2">
      <c r="A223">
        <v>222</v>
      </c>
      <c r="B223">
        <v>0</v>
      </c>
      <c r="C223">
        <f t="shared" si="8"/>
        <v>952</v>
      </c>
      <c r="D223" s="2">
        <f t="shared" si="9"/>
        <v>19.409836065573771</v>
      </c>
    </row>
    <row r="224" spans="1:4" x14ac:dyDescent="0.2">
      <c r="A224">
        <v>223</v>
      </c>
      <c r="B224">
        <v>0</v>
      </c>
      <c r="C224">
        <f t="shared" si="8"/>
        <v>953</v>
      </c>
      <c r="D224" s="2">
        <f t="shared" si="9"/>
        <v>19.409836065573771</v>
      </c>
    </row>
    <row r="225" spans="1:4" x14ac:dyDescent="0.2">
      <c r="A225">
        <v>224</v>
      </c>
      <c r="B225">
        <v>0</v>
      </c>
      <c r="C225">
        <f t="shared" si="8"/>
        <v>954</v>
      </c>
      <c r="D225" s="2">
        <f t="shared" si="9"/>
        <v>19.409836065573771</v>
      </c>
    </row>
    <row r="226" spans="1:4" x14ac:dyDescent="0.2">
      <c r="A226">
        <v>225</v>
      </c>
      <c r="B226">
        <v>0</v>
      </c>
      <c r="C226">
        <f t="shared" si="8"/>
        <v>955</v>
      </c>
      <c r="D226" s="2">
        <f t="shared" si="9"/>
        <v>19.409836065573771</v>
      </c>
    </row>
    <row r="227" spans="1:4" x14ac:dyDescent="0.2">
      <c r="A227">
        <v>226</v>
      </c>
      <c r="B227">
        <v>0</v>
      </c>
      <c r="C227">
        <f t="shared" si="8"/>
        <v>956</v>
      </c>
      <c r="D227" s="2">
        <f t="shared" si="9"/>
        <v>19.409836065573771</v>
      </c>
    </row>
    <row r="228" spans="1:4" x14ac:dyDescent="0.2">
      <c r="A228">
        <v>227</v>
      </c>
      <c r="B228">
        <v>0</v>
      </c>
      <c r="C228">
        <f t="shared" si="8"/>
        <v>957</v>
      </c>
      <c r="D228" s="2">
        <f t="shared" si="9"/>
        <v>19.409836065573771</v>
      </c>
    </row>
    <row r="229" spans="1:4" x14ac:dyDescent="0.2">
      <c r="A229">
        <v>228</v>
      </c>
      <c r="B229">
        <v>0</v>
      </c>
      <c r="C229">
        <f t="shared" si="8"/>
        <v>958</v>
      </c>
      <c r="D229" s="2">
        <f t="shared" si="9"/>
        <v>19.409836065573771</v>
      </c>
    </row>
    <row r="230" spans="1:4" x14ac:dyDescent="0.2">
      <c r="A230">
        <v>229</v>
      </c>
      <c r="B230">
        <v>0</v>
      </c>
      <c r="C230">
        <f t="shared" si="8"/>
        <v>959</v>
      </c>
      <c r="D230" s="2">
        <f t="shared" si="9"/>
        <v>19.409836065573771</v>
      </c>
    </row>
    <row r="231" spans="1:4" x14ac:dyDescent="0.2">
      <c r="A231">
        <v>230</v>
      </c>
      <c r="B231">
        <v>0</v>
      </c>
      <c r="C231">
        <f t="shared" si="8"/>
        <v>960</v>
      </c>
      <c r="D231" s="2">
        <f t="shared" si="9"/>
        <v>19.409836065573771</v>
      </c>
    </row>
    <row r="232" spans="1:4" x14ac:dyDescent="0.2">
      <c r="A232">
        <v>231</v>
      </c>
      <c r="B232">
        <v>0</v>
      </c>
      <c r="C232">
        <f t="shared" si="8"/>
        <v>961</v>
      </c>
      <c r="D232" s="2">
        <f t="shared" si="9"/>
        <v>19.409836065573771</v>
      </c>
    </row>
    <row r="233" spans="1:4" x14ac:dyDescent="0.2">
      <c r="A233">
        <v>232</v>
      </c>
      <c r="B233">
        <v>0</v>
      </c>
      <c r="C233">
        <f t="shared" si="8"/>
        <v>962</v>
      </c>
      <c r="D233" s="2">
        <f t="shared" si="9"/>
        <v>19.409836065573771</v>
      </c>
    </row>
    <row r="234" spans="1:4" x14ac:dyDescent="0.2">
      <c r="A234">
        <v>233</v>
      </c>
      <c r="B234">
        <v>0</v>
      </c>
      <c r="C234">
        <f t="shared" si="8"/>
        <v>963</v>
      </c>
      <c r="D234" s="2">
        <f t="shared" si="9"/>
        <v>19.409836065573771</v>
      </c>
    </row>
    <row r="235" spans="1:4" x14ac:dyDescent="0.2">
      <c r="A235">
        <v>234</v>
      </c>
      <c r="B235">
        <v>0</v>
      </c>
      <c r="C235">
        <f t="shared" si="8"/>
        <v>964</v>
      </c>
      <c r="D235" s="2">
        <f t="shared" si="9"/>
        <v>19.409836065573771</v>
      </c>
    </row>
    <row r="236" spans="1:4" x14ac:dyDescent="0.2">
      <c r="A236">
        <v>235</v>
      </c>
      <c r="B236">
        <v>0</v>
      </c>
      <c r="C236">
        <f t="shared" si="8"/>
        <v>965</v>
      </c>
      <c r="D236" s="2">
        <f t="shared" si="9"/>
        <v>19.409836065573771</v>
      </c>
    </row>
    <row r="237" spans="1:4" x14ac:dyDescent="0.2">
      <c r="A237">
        <v>236</v>
      </c>
      <c r="B237">
        <v>0</v>
      </c>
      <c r="C237">
        <f t="shared" si="8"/>
        <v>966</v>
      </c>
      <c r="D237" s="2">
        <f t="shared" si="9"/>
        <v>19.409836065573771</v>
      </c>
    </row>
    <row r="238" spans="1:4" x14ac:dyDescent="0.2">
      <c r="A238">
        <v>237</v>
      </c>
      <c r="B238">
        <v>0</v>
      </c>
      <c r="C238">
        <f t="shared" si="8"/>
        <v>967</v>
      </c>
      <c r="D238" s="2">
        <f t="shared" si="9"/>
        <v>19.409836065573771</v>
      </c>
    </row>
    <row r="239" spans="1:4" x14ac:dyDescent="0.2">
      <c r="A239">
        <v>238</v>
      </c>
      <c r="B239">
        <v>0</v>
      </c>
      <c r="C239">
        <f t="shared" si="8"/>
        <v>968</v>
      </c>
      <c r="D239" s="2">
        <f t="shared" si="9"/>
        <v>19.409836065573771</v>
      </c>
    </row>
    <row r="240" spans="1:4" x14ac:dyDescent="0.2">
      <c r="A240">
        <v>239</v>
      </c>
      <c r="B240">
        <v>0</v>
      </c>
      <c r="C240">
        <f t="shared" si="8"/>
        <v>969</v>
      </c>
      <c r="D240" s="2">
        <f t="shared" si="9"/>
        <v>19.409836065573771</v>
      </c>
    </row>
    <row r="241" spans="1:4" x14ac:dyDescent="0.2">
      <c r="A241">
        <v>240</v>
      </c>
      <c r="B241">
        <v>0</v>
      </c>
      <c r="C241">
        <f t="shared" si="8"/>
        <v>970</v>
      </c>
      <c r="D241" s="2">
        <f t="shared" si="9"/>
        <v>19.409836065573771</v>
      </c>
    </row>
    <row r="242" spans="1:4" x14ac:dyDescent="0.2">
      <c r="A242">
        <v>241</v>
      </c>
      <c r="B242">
        <v>0</v>
      </c>
      <c r="C242">
        <f t="shared" si="8"/>
        <v>971</v>
      </c>
      <c r="D242" s="2">
        <f t="shared" si="9"/>
        <v>19.409836065573771</v>
      </c>
    </row>
    <row r="243" spans="1:4" x14ac:dyDescent="0.2">
      <c r="A243">
        <v>242</v>
      </c>
      <c r="B243">
        <v>0</v>
      </c>
      <c r="C243">
        <f t="shared" si="8"/>
        <v>972</v>
      </c>
      <c r="D243" s="2">
        <f t="shared" si="9"/>
        <v>19.409836065573771</v>
      </c>
    </row>
    <row r="244" spans="1:4" x14ac:dyDescent="0.2">
      <c r="A244">
        <v>243</v>
      </c>
      <c r="B244">
        <v>0</v>
      </c>
      <c r="C244">
        <f t="shared" si="8"/>
        <v>973</v>
      </c>
      <c r="D244" s="2">
        <f t="shared" si="9"/>
        <v>19.409836065573771</v>
      </c>
    </row>
    <row r="245" spans="1:4" x14ac:dyDescent="0.2">
      <c r="A245">
        <v>244</v>
      </c>
      <c r="B245">
        <v>0</v>
      </c>
      <c r="C245">
        <f t="shared" si="8"/>
        <v>974</v>
      </c>
      <c r="D245" s="2">
        <f t="shared" si="9"/>
        <v>19.409836065573771</v>
      </c>
    </row>
    <row r="246" spans="1:4" x14ac:dyDescent="0.2">
      <c r="A246">
        <v>245</v>
      </c>
      <c r="B246">
        <v>0</v>
      </c>
      <c r="C246">
        <f t="shared" si="8"/>
        <v>975</v>
      </c>
      <c r="D246" s="2">
        <f t="shared" si="9"/>
        <v>19.409836065573771</v>
      </c>
    </row>
    <row r="247" spans="1:4" x14ac:dyDescent="0.2">
      <c r="A247">
        <v>246</v>
      </c>
      <c r="B247">
        <v>0</v>
      </c>
      <c r="C247">
        <f t="shared" si="8"/>
        <v>976</v>
      </c>
      <c r="D247" s="2">
        <f t="shared" si="9"/>
        <v>19.409836065573771</v>
      </c>
    </row>
    <row r="248" spans="1:4" x14ac:dyDescent="0.2">
      <c r="A248">
        <v>247</v>
      </c>
      <c r="B248">
        <v>0</v>
      </c>
      <c r="C248">
        <f t="shared" si="8"/>
        <v>977</v>
      </c>
      <c r="D248" s="2">
        <f t="shared" si="9"/>
        <v>19.409836065573771</v>
      </c>
    </row>
    <row r="249" spans="1:4" x14ac:dyDescent="0.2">
      <c r="A249">
        <v>248</v>
      </c>
      <c r="B249">
        <v>0</v>
      </c>
      <c r="C249">
        <f t="shared" si="8"/>
        <v>978</v>
      </c>
      <c r="D249" s="2">
        <f t="shared" si="9"/>
        <v>19.409836065573771</v>
      </c>
    </row>
    <row r="250" spans="1:4" x14ac:dyDescent="0.2">
      <c r="A250">
        <v>249</v>
      </c>
      <c r="B250">
        <v>0</v>
      </c>
      <c r="C250">
        <f t="shared" si="8"/>
        <v>979</v>
      </c>
      <c r="D250" s="2">
        <f t="shared" si="9"/>
        <v>19.409836065573771</v>
      </c>
    </row>
    <row r="251" spans="1:4" x14ac:dyDescent="0.2">
      <c r="A251">
        <v>250</v>
      </c>
      <c r="B251">
        <v>0</v>
      </c>
      <c r="C251">
        <f t="shared" si="8"/>
        <v>980</v>
      </c>
      <c r="D251" s="2">
        <f t="shared" si="9"/>
        <v>19.409836065573771</v>
      </c>
    </row>
    <row r="252" spans="1:4" x14ac:dyDescent="0.2">
      <c r="A252">
        <v>251</v>
      </c>
      <c r="B252">
        <v>0</v>
      </c>
      <c r="C252">
        <f t="shared" si="8"/>
        <v>981</v>
      </c>
      <c r="D252" s="2">
        <f t="shared" si="9"/>
        <v>19.409836065573771</v>
      </c>
    </row>
    <row r="253" spans="1:4" x14ac:dyDescent="0.2">
      <c r="A253">
        <v>252</v>
      </c>
      <c r="B253">
        <v>0</v>
      </c>
      <c r="C253">
        <f t="shared" si="8"/>
        <v>982</v>
      </c>
      <c r="D253" s="2">
        <f t="shared" si="9"/>
        <v>19.409836065573771</v>
      </c>
    </row>
    <row r="254" spans="1:4" x14ac:dyDescent="0.2">
      <c r="A254">
        <v>253</v>
      </c>
      <c r="B254">
        <v>0</v>
      </c>
      <c r="C254">
        <f t="shared" si="8"/>
        <v>983</v>
      </c>
      <c r="D254" s="2">
        <f t="shared" si="9"/>
        <v>19.409836065573771</v>
      </c>
    </row>
    <row r="255" spans="1:4" x14ac:dyDescent="0.2">
      <c r="A255">
        <v>254</v>
      </c>
      <c r="B255">
        <v>0</v>
      </c>
      <c r="C255">
        <f t="shared" si="8"/>
        <v>984</v>
      </c>
      <c r="D255" s="2">
        <f t="shared" si="9"/>
        <v>19.409836065573771</v>
      </c>
    </row>
    <row r="256" spans="1:4" x14ac:dyDescent="0.2">
      <c r="A256">
        <v>255</v>
      </c>
      <c r="B256">
        <v>0</v>
      </c>
      <c r="C256">
        <f t="shared" si="8"/>
        <v>985</v>
      </c>
      <c r="D256" s="2">
        <f t="shared" si="9"/>
        <v>19.409836065573771</v>
      </c>
    </row>
    <row r="257" spans="1:4" x14ac:dyDescent="0.2">
      <c r="A257">
        <v>256</v>
      </c>
      <c r="B257">
        <v>0</v>
      </c>
      <c r="C257">
        <f t="shared" si="8"/>
        <v>986</v>
      </c>
      <c r="D257" s="2">
        <f t="shared" si="9"/>
        <v>19.409836065573771</v>
      </c>
    </row>
    <row r="258" spans="1:4" x14ac:dyDescent="0.2">
      <c r="A258">
        <v>257</v>
      </c>
      <c r="B258">
        <v>0</v>
      </c>
      <c r="C258">
        <f t="shared" si="8"/>
        <v>987</v>
      </c>
      <c r="D258" s="2">
        <f t="shared" si="9"/>
        <v>19.409836065573771</v>
      </c>
    </row>
    <row r="259" spans="1:4" x14ac:dyDescent="0.2">
      <c r="A259">
        <v>258</v>
      </c>
      <c r="B259">
        <v>0</v>
      </c>
      <c r="C259">
        <f t="shared" ref="C259:C322" si="10">A259+730</f>
        <v>988</v>
      </c>
      <c r="D259" s="2">
        <f t="shared" si="9"/>
        <v>19.409836065573771</v>
      </c>
    </row>
    <row r="260" spans="1:4" x14ac:dyDescent="0.2">
      <c r="A260">
        <v>259</v>
      </c>
      <c r="B260">
        <v>0</v>
      </c>
      <c r="C260">
        <f t="shared" si="10"/>
        <v>989</v>
      </c>
      <c r="D260" s="2">
        <f t="shared" ref="D260:D323" si="11">$D$2</f>
        <v>19.409836065573771</v>
      </c>
    </row>
    <row r="261" spans="1:4" x14ac:dyDescent="0.2">
      <c r="A261">
        <v>260</v>
      </c>
      <c r="B261">
        <v>0</v>
      </c>
      <c r="C261">
        <f t="shared" si="10"/>
        <v>990</v>
      </c>
      <c r="D261" s="2">
        <f t="shared" si="11"/>
        <v>19.409836065573771</v>
      </c>
    </row>
    <row r="262" spans="1:4" x14ac:dyDescent="0.2">
      <c r="A262">
        <v>261</v>
      </c>
      <c r="B262">
        <v>0</v>
      </c>
      <c r="C262">
        <f t="shared" si="10"/>
        <v>991</v>
      </c>
      <c r="D262" s="2">
        <f t="shared" si="11"/>
        <v>19.409836065573771</v>
      </c>
    </row>
    <row r="263" spans="1:4" x14ac:dyDescent="0.2">
      <c r="A263">
        <v>262</v>
      </c>
      <c r="B263">
        <v>0</v>
      </c>
      <c r="C263">
        <f t="shared" si="10"/>
        <v>992</v>
      </c>
      <c r="D263" s="2">
        <f t="shared" si="11"/>
        <v>19.409836065573771</v>
      </c>
    </row>
    <row r="264" spans="1:4" x14ac:dyDescent="0.2">
      <c r="A264">
        <v>263</v>
      </c>
      <c r="B264">
        <v>0</v>
      </c>
      <c r="C264">
        <f t="shared" si="10"/>
        <v>993</v>
      </c>
      <c r="D264" s="2">
        <f t="shared" si="11"/>
        <v>19.409836065573771</v>
      </c>
    </row>
    <row r="265" spans="1:4" x14ac:dyDescent="0.2">
      <c r="A265">
        <v>264</v>
      </c>
      <c r="B265">
        <v>0</v>
      </c>
      <c r="C265">
        <f t="shared" si="10"/>
        <v>994</v>
      </c>
      <c r="D265" s="2">
        <f t="shared" si="11"/>
        <v>19.409836065573771</v>
      </c>
    </row>
    <row r="266" spans="1:4" x14ac:dyDescent="0.2">
      <c r="A266">
        <v>265</v>
      </c>
      <c r="B266">
        <v>0</v>
      </c>
      <c r="C266">
        <f t="shared" si="10"/>
        <v>995</v>
      </c>
      <c r="D266" s="2">
        <f t="shared" si="11"/>
        <v>19.409836065573771</v>
      </c>
    </row>
    <row r="267" spans="1:4" x14ac:dyDescent="0.2">
      <c r="A267">
        <v>266</v>
      </c>
      <c r="B267">
        <v>0</v>
      </c>
      <c r="C267">
        <f t="shared" si="10"/>
        <v>996</v>
      </c>
      <c r="D267" s="2">
        <f t="shared" si="11"/>
        <v>19.409836065573771</v>
      </c>
    </row>
    <row r="268" spans="1:4" x14ac:dyDescent="0.2">
      <c r="A268">
        <v>267</v>
      </c>
      <c r="B268">
        <v>0</v>
      </c>
      <c r="C268">
        <f t="shared" si="10"/>
        <v>997</v>
      </c>
      <c r="D268" s="2">
        <f t="shared" si="11"/>
        <v>19.409836065573771</v>
      </c>
    </row>
    <row r="269" spans="1:4" x14ac:dyDescent="0.2">
      <c r="A269">
        <v>268</v>
      </c>
      <c r="B269">
        <v>0</v>
      </c>
      <c r="C269">
        <f t="shared" si="10"/>
        <v>998</v>
      </c>
      <c r="D269" s="2">
        <f t="shared" si="11"/>
        <v>19.409836065573771</v>
      </c>
    </row>
    <row r="270" spans="1:4" x14ac:dyDescent="0.2">
      <c r="A270">
        <v>269</v>
      </c>
      <c r="B270">
        <v>0</v>
      </c>
      <c r="C270">
        <f t="shared" si="10"/>
        <v>999</v>
      </c>
      <c r="D270" s="2">
        <f t="shared" si="11"/>
        <v>19.409836065573771</v>
      </c>
    </row>
    <row r="271" spans="1:4" x14ac:dyDescent="0.2">
      <c r="A271">
        <v>270</v>
      </c>
      <c r="B271">
        <v>0</v>
      </c>
      <c r="C271">
        <f t="shared" si="10"/>
        <v>1000</v>
      </c>
      <c r="D271" s="2">
        <f t="shared" si="11"/>
        <v>19.409836065573771</v>
      </c>
    </row>
    <row r="272" spans="1:4" x14ac:dyDescent="0.2">
      <c r="A272">
        <v>271</v>
      </c>
      <c r="B272">
        <v>0</v>
      </c>
      <c r="C272">
        <f t="shared" si="10"/>
        <v>1001</v>
      </c>
      <c r="D272" s="2">
        <f t="shared" si="11"/>
        <v>19.409836065573771</v>
      </c>
    </row>
    <row r="273" spans="1:4" x14ac:dyDescent="0.2">
      <c r="A273">
        <v>272</v>
      </c>
      <c r="B273">
        <v>0</v>
      </c>
      <c r="C273">
        <f t="shared" si="10"/>
        <v>1002</v>
      </c>
      <c r="D273" s="2">
        <f t="shared" si="11"/>
        <v>19.409836065573771</v>
      </c>
    </row>
    <row r="274" spans="1:4" x14ac:dyDescent="0.2">
      <c r="A274">
        <v>273</v>
      </c>
      <c r="B274">
        <v>0</v>
      </c>
      <c r="C274">
        <f t="shared" si="10"/>
        <v>1003</v>
      </c>
      <c r="D274" s="2">
        <f t="shared" si="11"/>
        <v>19.409836065573771</v>
      </c>
    </row>
    <row r="275" spans="1:4" x14ac:dyDescent="0.2">
      <c r="A275">
        <v>274</v>
      </c>
      <c r="B275">
        <v>0</v>
      </c>
      <c r="C275">
        <f t="shared" si="10"/>
        <v>1004</v>
      </c>
      <c r="D275" s="2">
        <f t="shared" si="11"/>
        <v>19.409836065573771</v>
      </c>
    </row>
    <row r="276" spans="1:4" x14ac:dyDescent="0.2">
      <c r="A276">
        <v>275</v>
      </c>
      <c r="B276">
        <v>0</v>
      </c>
      <c r="C276">
        <f t="shared" si="10"/>
        <v>1005</v>
      </c>
      <c r="D276" s="2">
        <f t="shared" si="11"/>
        <v>19.409836065573771</v>
      </c>
    </row>
    <row r="277" spans="1:4" x14ac:dyDescent="0.2">
      <c r="A277">
        <v>276</v>
      </c>
      <c r="B277">
        <v>0</v>
      </c>
      <c r="C277">
        <f t="shared" si="10"/>
        <v>1006</v>
      </c>
      <c r="D277" s="2">
        <f t="shared" si="11"/>
        <v>19.409836065573771</v>
      </c>
    </row>
    <row r="278" spans="1:4" x14ac:dyDescent="0.2">
      <c r="A278">
        <v>277</v>
      </c>
      <c r="B278">
        <v>0</v>
      </c>
      <c r="C278">
        <f t="shared" si="10"/>
        <v>1007</v>
      </c>
      <c r="D278" s="2">
        <f t="shared" si="11"/>
        <v>19.409836065573771</v>
      </c>
    </row>
    <row r="279" spans="1:4" x14ac:dyDescent="0.2">
      <c r="A279">
        <v>278</v>
      </c>
      <c r="B279">
        <v>0</v>
      </c>
      <c r="C279">
        <f t="shared" si="10"/>
        <v>1008</v>
      </c>
      <c r="D279" s="2">
        <f t="shared" si="11"/>
        <v>19.409836065573771</v>
      </c>
    </row>
    <row r="280" spans="1:4" x14ac:dyDescent="0.2">
      <c r="A280">
        <v>279</v>
      </c>
      <c r="B280">
        <v>0</v>
      </c>
      <c r="C280">
        <f t="shared" si="10"/>
        <v>1009</v>
      </c>
      <c r="D280" s="2">
        <f t="shared" si="11"/>
        <v>19.409836065573771</v>
      </c>
    </row>
    <row r="281" spans="1:4" x14ac:dyDescent="0.2">
      <c r="A281">
        <v>280</v>
      </c>
      <c r="B281">
        <v>0</v>
      </c>
      <c r="C281">
        <f t="shared" si="10"/>
        <v>1010</v>
      </c>
      <c r="D281" s="2">
        <f t="shared" si="11"/>
        <v>19.409836065573771</v>
      </c>
    </row>
    <row r="282" spans="1:4" x14ac:dyDescent="0.2">
      <c r="A282">
        <v>281</v>
      </c>
      <c r="B282">
        <v>0</v>
      </c>
      <c r="C282">
        <f t="shared" si="10"/>
        <v>1011</v>
      </c>
      <c r="D282" s="2">
        <f t="shared" si="11"/>
        <v>19.409836065573771</v>
      </c>
    </row>
    <row r="283" spans="1:4" x14ac:dyDescent="0.2">
      <c r="A283">
        <v>282</v>
      </c>
      <c r="B283">
        <v>0</v>
      </c>
      <c r="C283">
        <f t="shared" si="10"/>
        <v>1012</v>
      </c>
      <c r="D283" s="2">
        <f t="shared" si="11"/>
        <v>19.409836065573771</v>
      </c>
    </row>
    <row r="284" spans="1:4" x14ac:dyDescent="0.2">
      <c r="A284">
        <v>283</v>
      </c>
      <c r="B284">
        <v>0</v>
      </c>
      <c r="C284">
        <f t="shared" si="10"/>
        <v>1013</v>
      </c>
      <c r="D284" s="2">
        <f t="shared" si="11"/>
        <v>19.409836065573771</v>
      </c>
    </row>
    <row r="285" spans="1:4" x14ac:dyDescent="0.2">
      <c r="A285">
        <v>284</v>
      </c>
      <c r="B285">
        <v>0</v>
      </c>
      <c r="C285">
        <f t="shared" si="10"/>
        <v>1014</v>
      </c>
      <c r="D285" s="2">
        <f t="shared" si="11"/>
        <v>19.409836065573771</v>
      </c>
    </row>
    <row r="286" spans="1:4" x14ac:dyDescent="0.2">
      <c r="A286">
        <v>285</v>
      </c>
      <c r="B286">
        <v>0</v>
      </c>
      <c r="C286">
        <f t="shared" si="10"/>
        <v>1015</v>
      </c>
      <c r="D286" s="2">
        <f t="shared" si="11"/>
        <v>19.409836065573771</v>
      </c>
    </row>
    <row r="287" spans="1:4" x14ac:dyDescent="0.2">
      <c r="A287">
        <v>286</v>
      </c>
      <c r="B287">
        <v>0</v>
      </c>
      <c r="C287">
        <f t="shared" si="10"/>
        <v>1016</v>
      </c>
      <c r="D287" s="2">
        <f t="shared" si="11"/>
        <v>19.409836065573771</v>
      </c>
    </row>
    <row r="288" spans="1:4" x14ac:dyDescent="0.2">
      <c r="A288">
        <v>287</v>
      </c>
      <c r="B288">
        <v>0</v>
      </c>
      <c r="C288">
        <f t="shared" si="10"/>
        <v>1017</v>
      </c>
      <c r="D288" s="2">
        <f t="shared" si="11"/>
        <v>19.409836065573771</v>
      </c>
    </row>
    <row r="289" spans="1:4" x14ac:dyDescent="0.2">
      <c r="A289">
        <v>288</v>
      </c>
      <c r="B289">
        <v>0</v>
      </c>
      <c r="C289">
        <f t="shared" si="10"/>
        <v>1018</v>
      </c>
      <c r="D289" s="2">
        <f t="shared" si="11"/>
        <v>19.409836065573771</v>
      </c>
    </row>
    <row r="290" spans="1:4" x14ac:dyDescent="0.2">
      <c r="A290">
        <v>289</v>
      </c>
      <c r="B290">
        <v>0</v>
      </c>
      <c r="C290">
        <f t="shared" si="10"/>
        <v>1019</v>
      </c>
      <c r="D290" s="2">
        <f t="shared" si="11"/>
        <v>19.409836065573771</v>
      </c>
    </row>
    <row r="291" spans="1:4" x14ac:dyDescent="0.2">
      <c r="A291">
        <v>290</v>
      </c>
      <c r="B291">
        <v>0</v>
      </c>
      <c r="C291">
        <f t="shared" si="10"/>
        <v>1020</v>
      </c>
      <c r="D291" s="2">
        <f t="shared" si="11"/>
        <v>19.409836065573771</v>
      </c>
    </row>
    <row r="292" spans="1:4" x14ac:dyDescent="0.2">
      <c r="A292">
        <v>291</v>
      </c>
      <c r="B292">
        <v>0</v>
      </c>
      <c r="C292">
        <f t="shared" si="10"/>
        <v>1021</v>
      </c>
      <c r="D292" s="2">
        <f t="shared" si="11"/>
        <v>19.409836065573771</v>
      </c>
    </row>
    <row r="293" spans="1:4" x14ac:dyDescent="0.2">
      <c r="A293">
        <v>292</v>
      </c>
      <c r="B293">
        <v>0</v>
      </c>
      <c r="C293">
        <f t="shared" si="10"/>
        <v>1022</v>
      </c>
      <c r="D293" s="2">
        <f t="shared" si="11"/>
        <v>19.409836065573771</v>
      </c>
    </row>
    <row r="294" spans="1:4" x14ac:dyDescent="0.2">
      <c r="A294">
        <v>293</v>
      </c>
      <c r="B294">
        <v>0</v>
      </c>
      <c r="C294">
        <f t="shared" si="10"/>
        <v>1023</v>
      </c>
      <c r="D294" s="2">
        <f t="shared" si="11"/>
        <v>19.409836065573771</v>
      </c>
    </row>
    <row r="295" spans="1:4" x14ac:dyDescent="0.2">
      <c r="A295">
        <v>294</v>
      </c>
      <c r="B295">
        <v>0</v>
      </c>
      <c r="C295">
        <f t="shared" si="10"/>
        <v>1024</v>
      </c>
      <c r="D295" s="2">
        <f t="shared" si="11"/>
        <v>19.409836065573771</v>
      </c>
    </row>
    <row r="296" spans="1:4" x14ac:dyDescent="0.2">
      <c r="A296">
        <v>295</v>
      </c>
      <c r="B296">
        <v>0</v>
      </c>
      <c r="C296">
        <f t="shared" si="10"/>
        <v>1025</v>
      </c>
      <c r="D296" s="2">
        <f t="shared" si="11"/>
        <v>19.409836065573771</v>
      </c>
    </row>
    <row r="297" spans="1:4" x14ac:dyDescent="0.2">
      <c r="A297">
        <v>296</v>
      </c>
      <c r="B297">
        <v>0</v>
      </c>
      <c r="C297">
        <f t="shared" si="10"/>
        <v>1026</v>
      </c>
      <c r="D297" s="2">
        <f t="shared" si="11"/>
        <v>19.409836065573771</v>
      </c>
    </row>
    <row r="298" spans="1:4" x14ac:dyDescent="0.2">
      <c r="A298">
        <v>297</v>
      </c>
      <c r="B298">
        <v>0</v>
      </c>
      <c r="C298">
        <f t="shared" si="10"/>
        <v>1027</v>
      </c>
      <c r="D298" s="2">
        <f t="shared" si="11"/>
        <v>19.409836065573771</v>
      </c>
    </row>
    <row r="299" spans="1:4" x14ac:dyDescent="0.2">
      <c r="A299">
        <v>298</v>
      </c>
      <c r="B299">
        <v>0</v>
      </c>
      <c r="C299">
        <f t="shared" si="10"/>
        <v>1028</v>
      </c>
      <c r="D299" s="2">
        <f t="shared" si="11"/>
        <v>19.409836065573771</v>
      </c>
    </row>
    <row r="300" spans="1:4" x14ac:dyDescent="0.2">
      <c r="A300">
        <v>299</v>
      </c>
      <c r="B300">
        <v>0</v>
      </c>
      <c r="C300">
        <f t="shared" si="10"/>
        <v>1029</v>
      </c>
      <c r="D300" s="2">
        <f t="shared" si="11"/>
        <v>19.409836065573771</v>
      </c>
    </row>
    <row r="301" spans="1:4" x14ac:dyDescent="0.2">
      <c r="A301">
        <v>300</v>
      </c>
      <c r="B301">
        <v>0</v>
      </c>
      <c r="C301">
        <f t="shared" si="10"/>
        <v>1030</v>
      </c>
      <c r="D301" s="2">
        <f t="shared" si="11"/>
        <v>19.409836065573771</v>
      </c>
    </row>
    <row r="302" spans="1:4" x14ac:dyDescent="0.2">
      <c r="A302">
        <v>301</v>
      </c>
      <c r="B302">
        <v>0</v>
      </c>
      <c r="C302">
        <f t="shared" si="10"/>
        <v>1031</v>
      </c>
      <c r="D302" s="2">
        <f t="shared" si="11"/>
        <v>19.409836065573771</v>
      </c>
    </row>
    <row r="303" spans="1:4" x14ac:dyDescent="0.2">
      <c r="A303">
        <v>302</v>
      </c>
      <c r="B303">
        <v>0</v>
      </c>
      <c r="C303">
        <f t="shared" si="10"/>
        <v>1032</v>
      </c>
      <c r="D303" s="2">
        <f t="shared" si="11"/>
        <v>19.409836065573771</v>
      </c>
    </row>
    <row r="304" spans="1:4" x14ac:dyDescent="0.2">
      <c r="A304">
        <v>303</v>
      </c>
      <c r="B304">
        <v>0</v>
      </c>
      <c r="C304">
        <f t="shared" si="10"/>
        <v>1033</v>
      </c>
      <c r="D304" s="2">
        <f t="shared" si="11"/>
        <v>19.409836065573771</v>
      </c>
    </row>
    <row r="305" spans="1:4" x14ac:dyDescent="0.2">
      <c r="A305">
        <v>304</v>
      </c>
      <c r="B305">
        <v>0</v>
      </c>
      <c r="C305">
        <f t="shared" si="10"/>
        <v>1034</v>
      </c>
      <c r="D305" s="2">
        <f t="shared" si="11"/>
        <v>19.409836065573771</v>
      </c>
    </row>
    <row r="306" spans="1:4" x14ac:dyDescent="0.2">
      <c r="A306">
        <v>305</v>
      </c>
      <c r="B306">
        <v>0</v>
      </c>
      <c r="C306">
        <f t="shared" si="10"/>
        <v>1035</v>
      </c>
      <c r="D306" s="2">
        <f t="shared" si="11"/>
        <v>19.409836065573771</v>
      </c>
    </row>
    <row r="307" spans="1:4" x14ac:dyDescent="0.2">
      <c r="A307">
        <v>306</v>
      </c>
      <c r="B307">
        <v>0</v>
      </c>
      <c r="C307">
        <f t="shared" si="10"/>
        <v>1036</v>
      </c>
      <c r="D307" s="2">
        <f t="shared" si="11"/>
        <v>19.409836065573771</v>
      </c>
    </row>
    <row r="308" spans="1:4" x14ac:dyDescent="0.2">
      <c r="A308">
        <v>307</v>
      </c>
      <c r="B308">
        <v>0</v>
      </c>
      <c r="C308">
        <f t="shared" si="10"/>
        <v>1037</v>
      </c>
      <c r="D308" s="2">
        <f t="shared" si="11"/>
        <v>19.409836065573771</v>
      </c>
    </row>
    <row r="309" spans="1:4" x14ac:dyDescent="0.2">
      <c r="A309">
        <v>308</v>
      </c>
      <c r="B309">
        <v>0</v>
      </c>
      <c r="C309">
        <f t="shared" si="10"/>
        <v>1038</v>
      </c>
      <c r="D309" s="2">
        <f t="shared" si="11"/>
        <v>19.409836065573771</v>
      </c>
    </row>
    <row r="310" spans="1:4" x14ac:dyDescent="0.2">
      <c r="A310">
        <v>309</v>
      </c>
      <c r="B310">
        <v>0</v>
      </c>
      <c r="C310">
        <f t="shared" si="10"/>
        <v>1039</v>
      </c>
      <c r="D310" s="2">
        <f t="shared" si="11"/>
        <v>19.409836065573771</v>
      </c>
    </row>
    <row r="311" spans="1:4" x14ac:dyDescent="0.2">
      <c r="A311">
        <v>310</v>
      </c>
      <c r="B311">
        <v>0</v>
      </c>
      <c r="C311">
        <f t="shared" si="10"/>
        <v>1040</v>
      </c>
      <c r="D311" s="2">
        <f t="shared" si="11"/>
        <v>19.409836065573771</v>
      </c>
    </row>
    <row r="312" spans="1:4" x14ac:dyDescent="0.2">
      <c r="A312">
        <v>311</v>
      </c>
      <c r="B312">
        <v>0</v>
      </c>
      <c r="C312">
        <f t="shared" si="10"/>
        <v>1041</v>
      </c>
      <c r="D312" s="2">
        <f t="shared" si="11"/>
        <v>19.409836065573771</v>
      </c>
    </row>
    <row r="313" spans="1:4" x14ac:dyDescent="0.2">
      <c r="A313">
        <v>312</v>
      </c>
      <c r="B313">
        <v>0</v>
      </c>
      <c r="C313">
        <f t="shared" si="10"/>
        <v>1042</v>
      </c>
      <c r="D313" s="2">
        <f t="shared" si="11"/>
        <v>19.409836065573771</v>
      </c>
    </row>
    <row r="314" spans="1:4" x14ac:dyDescent="0.2">
      <c r="A314">
        <v>313</v>
      </c>
      <c r="B314">
        <v>0</v>
      </c>
      <c r="C314">
        <f t="shared" si="10"/>
        <v>1043</v>
      </c>
      <c r="D314" s="2">
        <f t="shared" si="11"/>
        <v>19.409836065573771</v>
      </c>
    </row>
    <row r="315" spans="1:4" x14ac:dyDescent="0.2">
      <c r="A315">
        <v>314</v>
      </c>
      <c r="B315">
        <v>0</v>
      </c>
      <c r="C315">
        <f t="shared" si="10"/>
        <v>1044</v>
      </c>
      <c r="D315" s="2">
        <f t="shared" si="11"/>
        <v>19.409836065573771</v>
      </c>
    </row>
    <row r="316" spans="1:4" x14ac:dyDescent="0.2">
      <c r="A316">
        <v>315</v>
      </c>
      <c r="B316">
        <v>0</v>
      </c>
      <c r="C316">
        <f t="shared" si="10"/>
        <v>1045</v>
      </c>
      <c r="D316" s="2">
        <f t="shared" si="11"/>
        <v>19.409836065573771</v>
      </c>
    </row>
    <row r="317" spans="1:4" x14ac:dyDescent="0.2">
      <c r="A317">
        <v>316</v>
      </c>
      <c r="B317">
        <v>0</v>
      </c>
      <c r="C317">
        <f t="shared" si="10"/>
        <v>1046</v>
      </c>
      <c r="D317" s="2">
        <f t="shared" si="11"/>
        <v>19.409836065573771</v>
      </c>
    </row>
    <row r="318" spans="1:4" x14ac:dyDescent="0.2">
      <c r="A318">
        <v>317</v>
      </c>
      <c r="B318">
        <v>0</v>
      </c>
      <c r="C318">
        <f t="shared" si="10"/>
        <v>1047</v>
      </c>
      <c r="D318" s="2">
        <f t="shared" si="11"/>
        <v>19.409836065573771</v>
      </c>
    </row>
    <row r="319" spans="1:4" x14ac:dyDescent="0.2">
      <c r="A319">
        <v>318</v>
      </c>
      <c r="B319">
        <v>0</v>
      </c>
      <c r="C319">
        <f t="shared" si="10"/>
        <v>1048</v>
      </c>
      <c r="D319" s="2">
        <f t="shared" si="11"/>
        <v>19.409836065573771</v>
      </c>
    </row>
    <row r="320" spans="1:4" x14ac:dyDescent="0.2">
      <c r="A320">
        <v>319</v>
      </c>
      <c r="B320">
        <v>0</v>
      </c>
      <c r="C320">
        <f t="shared" si="10"/>
        <v>1049</v>
      </c>
      <c r="D320" s="2">
        <f t="shared" si="11"/>
        <v>19.409836065573771</v>
      </c>
    </row>
    <row r="321" spans="1:4" x14ac:dyDescent="0.2">
      <c r="A321">
        <v>320</v>
      </c>
      <c r="B321">
        <v>0</v>
      </c>
      <c r="C321">
        <f t="shared" si="10"/>
        <v>1050</v>
      </c>
      <c r="D321" s="2">
        <f t="shared" si="11"/>
        <v>19.409836065573771</v>
      </c>
    </row>
    <row r="322" spans="1:4" x14ac:dyDescent="0.2">
      <c r="A322">
        <v>321</v>
      </c>
      <c r="B322">
        <v>0</v>
      </c>
      <c r="C322">
        <f t="shared" si="10"/>
        <v>1051</v>
      </c>
      <c r="D322" s="2">
        <f t="shared" si="11"/>
        <v>19.409836065573771</v>
      </c>
    </row>
    <row r="323" spans="1:4" x14ac:dyDescent="0.2">
      <c r="A323">
        <v>322</v>
      </c>
      <c r="B323">
        <v>0</v>
      </c>
      <c r="C323">
        <f t="shared" ref="C323:C386" si="12">A323+730</f>
        <v>1052</v>
      </c>
      <c r="D323" s="2">
        <f t="shared" si="11"/>
        <v>19.409836065573771</v>
      </c>
    </row>
    <row r="324" spans="1:4" x14ac:dyDescent="0.2">
      <c r="A324">
        <v>323</v>
      </c>
      <c r="B324">
        <v>0</v>
      </c>
      <c r="C324">
        <f t="shared" si="12"/>
        <v>1053</v>
      </c>
      <c r="D324" s="2">
        <f t="shared" ref="D324:D387" si="13">$D$2</f>
        <v>19.409836065573771</v>
      </c>
    </row>
    <row r="325" spans="1:4" x14ac:dyDescent="0.2">
      <c r="A325">
        <v>324</v>
      </c>
      <c r="B325">
        <v>0</v>
      </c>
      <c r="C325">
        <f t="shared" si="12"/>
        <v>1054</v>
      </c>
      <c r="D325" s="2">
        <f t="shared" si="13"/>
        <v>19.409836065573771</v>
      </c>
    </row>
    <row r="326" spans="1:4" x14ac:dyDescent="0.2">
      <c r="A326">
        <v>325</v>
      </c>
      <c r="B326">
        <v>0</v>
      </c>
      <c r="C326">
        <f t="shared" si="12"/>
        <v>1055</v>
      </c>
      <c r="D326" s="2">
        <f t="shared" si="13"/>
        <v>19.409836065573771</v>
      </c>
    </row>
    <row r="327" spans="1:4" x14ac:dyDescent="0.2">
      <c r="A327">
        <v>326</v>
      </c>
      <c r="B327">
        <v>0</v>
      </c>
      <c r="C327">
        <f t="shared" si="12"/>
        <v>1056</v>
      </c>
      <c r="D327" s="2">
        <f t="shared" si="13"/>
        <v>19.409836065573771</v>
      </c>
    </row>
    <row r="328" spans="1:4" x14ac:dyDescent="0.2">
      <c r="A328">
        <v>327</v>
      </c>
      <c r="B328">
        <v>0</v>
      </c>
      <c r="C328">
        <f t="shared" si="12"/>
        <v>1057</v>
      </c>
      <c r="D328" s="2">
        <f t="shared" si="13"/>
        <v>19.409836065573771</v>
      </c>
    </row>
    <row r="329" spans="1:4" x14ac:dyDescent="0.2">
      <c r="A329">
        <v>328</v>
      </c>
      <c r="B329">
        <v>0</v>
      </c>
      <c r="C329">
        <f t="shared" si="12"/>
        <v>1058</v>
      </c>
      <c r="D329" s="2">
        <f t="shared" si="13"/>
        <v>19.409836065573771</v>
      </c>
    </row>
    <row r="330" spans="1:4" x14ac:dyDescent="0.2">
      <c r="A330">
        <v>329</v>
      </c>
      <c r="B330">
        <v>0</v>
      </c>
      <c r="C330">
        <f t="shared" si="12"/>
        <v>1059</v>
      </c>
      <c r="D330" s="2">
        <f t="shared" si="13"/>
        <v>19.409836065573771</v>
      </c>
    </row>
    <row r="331" spans="1:4" x14ac:dyDescent="0.2">
      <c r="A331">
        <v>330</v>
      </c>
      <c r="B331">
        <v>0</v>
      </c>
      <c r="C331">
        <f t="shared" si="12"/>
        <v>1060</v>
      </c>
      <c r="D331" s="2">
        <f t="shared" si="13"/>
        <v>19.409836065573771</v>
      </c>
    </row>
    <row r="332" spans="1:4" x14ac:dyDescent="0.2">
      <c r="A332">
        <v>331</v>
      </c>
      <c r="B332">
        <v>0</v>
      </c>
      <c r="C332">
        <f t="shared" si="12"/>
        <v>1061</v>
      </c>
      <c r="D332" s="2">
        <f t="shared" si="13"/>
        <v>19.409836065573771</v>
      </c>
    </row>
    <row r="333" spans="1:4" x14ac:dyDescent="0.2">
      <c r="A333">
        <v>332</v>
      </c>
      <c r="B333">
        <v>0</v>
      </c>
      <c r="C333">
        <f t="shared" si="12"/>
        <v>1062</v>
      </c>
      <c r="D333" s="2">
        <f t="shared" si="13"/>
        <v>19.409836065573771</v>
      </c>
    </row>
    <row r="334" spans="1:4" x14ac:dyDescent="0.2">
      <c r="A334">
        <v>333</v>
      </c>
      <c r="B334">
        <v>0</v>
      </c>
      <c r="C334">
        <f t="shared" si="12"/>
        <v>1063</v>
      </c>
      <c r="D334" s="2">
        <f t="shared" si="13"/>
        <v>19.409836065573771</v>
      </c>
    </row>
    <row r="335" spans="1:4" x14ac:dyDescent="0.2">
      <c r="A335">
        <v>334</v>
      </c>
      <c r="B335">
        <v>0</v>
      </c>
      <c r="C335">
        <f t="shared" si="12"/>
        <v>1064</v>
      </c>
      <c r="D335" s="2">
        <f t="shared" si="13"/>
        <v>19.409836065573771</v>
      </c>
    </row>
    <row r="336" spans="1:4" x14ac:dyDescent="0.2">
      <c r="A336">
        <v>335</v>
      </c>
      <c r="B336">
        <v>0</v>
      </c>
      <c r="C336">
        <f t="shared" si="12"/>
        <v>1065</v>
      </c>
      <c r="D336" s="2">
        <f t="shared" si="13"/>
        <v>19.409836065573771</v>
      </c>
    </row>
    <row r="337" spans="1:4" x14ac:dyDescent="0.2">
      <c r="A337">
        <v>336</v>
      </c>
      <c r="B337">
        <v>0</v>
      </c>
      <c r="C337">
        <f t="shared" si="12"/>
        <v>1066</v>
      </c>
      <c r="D337" s="2">
        <f t="shared" si="13"/>
        <v>19.409836065573771</v>
      </c>
    </row>
    <row r="338" spans="1:4" x14ac:dyDescent="0.2">
      <c r="A338">
        <v>337</v>
      </c>
      <c r="B338">
        <v>0</v>
      </c>
      <c r="C338">
        <f t="shared" si="12"/>
        <v>1067</v>
      </c>
      <c r="D338" s="2">
        <f t="shared" si="13"/>
        <v>19.409836065573771</v>
      </c>
    </row>
    <row r="339" spans="1:4" x14ac:dyDescent="0.2">
      <c r="A339">
        <v>338</v>
      </c>
      <c r="B339">
        <v>0</v>
      </c>
      <c r="C339">
        <f t="shared" si="12"/>
        <v>1068</v>
      </c>
      <c r="D339" s="2">
        <f t="shared" si="13"/>
        <v>19.409836065573771</v>
      </c>
    </row>
    <row r="340" spans="1:4" x14ac:dyDescent="0.2">
      <c r="A340">
        <v>339</v>
      </c>
      <c r="B340">
        <v>0</v>
      </c>
      <c r="C340">
        <f t="shared" si="12"/>
        <v>1069</v>
      </c>
      <c r="D340" s="2">
        <f t="shared" si="13"/>
        <v>19.409836065573771</v>
      </c>
    </row>
    <row r="341" spans="1:4" x14ac:dyDescent="0.2">
      <c r="A341">
        <v>340</v>
      </c>
      <c r="B341">
        <v>0</v>
      </c>
      <c r="C341">
        <f t="shared" si="12"/>
        <v>1070</v>
      </c>
      <c r="D341" s="2">
        <f t="shared" si="13"/>
        <v>19.409836065573771</v>
      </c>
    </row>
    <row r="342" spans="1:4" x14ac:dyDescent="0.2">
      <c r="A342">
        <v>341</v>
      </c>
      <c r="B342">
        <v>0</v>
      </c>
      <c r="C342">
        <f t="shared" si="12"/>
        <v>1071</v>
      </c>
      <c r="D342" s="2">
        <f t="shared" si="13"/>
        <v>19.409836065573771</v>
      </c>
    </row>
    <row r="343" spans="1:4" x14ac:dyDescent="0.2">
      <c r="A343">
        <v>342</v>
      </c>
      <c r="B343">
        <v>0</v>
      </c>
      <c r="C343">
        <f t="shared" si="12"/>
        <v>1072</v>
      </c>
      <c r="D343" s="2">
        <f t="shared" si="13"/>
        <v>19.409836065573771</v>
      </c>
    </row>
    <row r="344" spans="1:4" x14ac:dyDescent="0.2">
      <c r="A344">
        <v>343</v>
      </c>
      <c r="B344">
        <v>0</v>
      </c>
      <c r="C344">
        <f t="shared" si="12"/>
        <v>1073</v>
      </c>
      <c r="D344" s="2">
        <f t="shared" si="13"/>
        <v>19.409836065573771</v>
      </c>
    </row>
    <row r="345" spans="1:4" x14ac:dyDescent="0.2">
      <c r="A345">
        <v>344</v>
      </c>
      <c r="B345">
        <v>0</v>
      </c>
      <c r="C345">
        <f t="shared" si="12"/>
        <v>1074</v>
      </c>
      <c r="D345" s="2">
        <f t="shared" si="13"/>
        <v>19.409836065573771</v>
      </c>
    </row>
    <row r="346" spans="1:4" x14ac:dyDescent="0.2">
      <c r="A346">
        <v>345</v>
      </c>
      <c r="B346">
        <v>0</v>
      </c>
      <c r="C346">
        <f t="shared" si="12"/>
        <v>1075</v>
      </c>
      <c r="D346" s="2">
        <f t="shared" si="13"/>
        <v>19.409836065573771</v>
      </c>
    </row>
    <row r="347" spans="1:4" x14ac:dyDescent="0.2">
      <c r="A347">
        <v>346</v>
      </c>
      <c r="B347">
        <v>0</v>
      </c>
      <c r="C347">
        <f t="shared" si="12"/>
        <v>1076</v>
      </c>
      <c r="D347" s="2">
        <f t="shared" si="13"/>
        <v>19.409836065573771</v>
      </c>
    </row>
    <row r="348" spans="1:4" x14ac:dyDescent="0.2">
      <c r="A348">
        <v>347</v>
      </c>
      <c r="B348">
        <v>0</v>
      </c>
      <c r="C348">
        <f t="shared" si="12"/>
        <v>1077</v>
      </c>
      <c r="D348" s="2">
        <f t="shared" si="13"/>
        <v>19.409836065573771</v>
      </c>
    </row>
    <row r="349" spans="1:4" x14ac:dyDescent="0.2">
      <c r="A349">
        <v>348</v>
      </c>
      <c r="B349">
        <v>0</v>
      </c>
      <c r="C349">
        <f t="shared" si="12"/>
        <v>1078</v>
      </c>
      <c r="D349" s="2">
        <f t="shared" si="13"/>
        <v>19.409836065573771</v>
      </c>
    </row>
    <row r="350" spans="1:4" x14ac:dyDescent="0.2">
      <c r="A350">
        <v>349</v>
      </c>
      <c r="B350">
        <v>0</v>
      </c>
      <c r="C350">
        <f t="shared" si="12"/>
        <v>1079</v>
      </c>
      <c r="D350" s="2">
        <f t="shared" si="13"/>
        <v>19.409836065573771</v>
      </c>
    </row>
    <row r="351" spans="1:4" x14ac:dyDescent="0.2">
      <c r="A351">
        <v>350</v>
      </c>
      <c r="B351">
        <v>0</v>
      </c>
      <c r="C351">
        <f t="shared" si="12"/>
        <v>1080</v>
      </c>
      <c r="D351" s="2">
        <f t="shared" si="13"/>
        <v>19.409836065573771</v>
      </c>
    </row>
    <row r="352" spans="1:4" x14ac:dyDescent="0.2">
      <c r="A352">
        <v>351</v>
      </c>
      <c r="B352">
        <v>0</v>
      </c>
      <c r="C352">
        <f t="shared" si="12"/>
        <v>1081</v>
      </c>
      <c r="D352" s="2">
        <f t="shared" si="13"/>
        <v>19.409836065573771</v>
      </c>
    </row>
    <row r="353" spans="1:4" x14ac:dyDescent="0.2">
      <c r="A353">
        <v>352</v>
      </c>
      <c r="B353">
        <v>0</v>
      </c>
      <c r="C353">
        <f t="shared" si="12"/>
        <v>1082</v>
      </c>
      <c r="D353" s="2">
        <f t="shared" si="13"/>
        <v>19.409836065573771</v>
      </c>
    </row>
    <row r="354" spans="1:4" x14ac:dyDescent="0.2">
      <c r="A354">
        <v>353</v>
      </c>
      <c r="B354">
        <v>0</v>
      </c>
      <c r="C354">
        <f t="shared" si="12"/>
        <v>1083</v>
      </c>
      <c r="D354" s="2">
        <f t="shared" si="13"/>
        <v>19.409836065573771</v>
      </c>
    </row>
    <row r="355" spans="1:4" x14ac:dyDescent="0.2">
      <c r="A355">
        <v>354</v>
      </c>
      <c r="B355">
        <v>0</v>
      </c>
      <c r="C355">
        <f t="shared" si="12"/>
        <v>1084</v>
      </c>
      <c r="D355" s="2">
        <f t="shared" si="13"/>
        <v>19.409836065573771</v>
      </c>
    </row>
    <row r="356" spans="1:4" x14ac:dyDescent="0.2">
      <c r="A356">
        <v>355</v>
      </c>
      <c r="B356">
        <v>0</v>
      </c>
      <c r="C356">
        <f t="shared" si="12"/>
        <v>1085</v>
      </c>
      <c r="D356" s="2">
        <f t="shared" si="13"/>
        <v>19.409836065573771</v>
      </c>
    </row>
    <row r="357" spans="1:4" x14ac:dyDescent="0.2">
      <c r="A357">
        <v>356</v>
      </c>
      <c r="B357">
        <v>0</v>
      </c>
      <c r="C357">
        <f t="shared" si="12"/>
        <v>1086</v>
      </c>
      <c r="D357" s="2">
        <f t="shared" si="13"/>
        <v>19.409836065573771</v>
      </c>
    </row>
    <row r="358" spans="1:4" x14ac:dyDescent="0.2">
      <c r="A358">
        <v>357</v>
      </c>
      <c r="B358">
        <v>0</v>
      </c>
      <c r="C358">
        <f t="shared" si="12"/>
        <v>1087</v>
      </c>
      <c r="D358" s="2">
        <f t="shared" si="13"/>
        <v>19.409836065573771</v>
      </c>
    </row>
    <row r="359" spans="1:4" x14ac:dyDescent="0.2">
      <c r="A359">
        <v>358</v>
      </c>
      <c r="B359">
        <v>0</v>
      </c>
      <c r="C359">
        <f t="shared" si="12"/>
        <v>1088</v>
      </c>
      <c r="D359" s="2">
        <f t="shared" si="13"/>
        <v>19.409836065573771</v>
      </c>
    </row>
    <row r="360" spans="1:4" x14ac:dyDescent="0.2">
      <c r="A360">
        <v>359</v>
      </c>
      <c r="B360">
        <v>0</v>
      </c>
      <c r="C360">
        <f t="shared" si="12"/>
        <v>1089</v>
      </c>
      <c r="D360" s="2">
        <f t="shared" si="13"/>
        <v>19.409836065573771</v>
      </c>
    </row>
    <row r="361" spans="1:4" x14ac:dyDescent="0.2">
      <c r="A361">
        <v>360</v>
      </c>
      <c r="B361">
        <v>0</v>
      </c>
      <c r="C361">
        <f t="shared" si="12"/>
        <v>1090</v>
      </c>
      <c r="D361" s="2">
        <f t="shared" si="13"/>
        <v>19.409836065573771</v>
      </c>
    </row>
    <row r="362" spans="1:4" x14ac:dyDescent="0.2">
      <c r="A362">
        <v>361</v>
      </c>
      <c r="B362">
        <v>0</v>
      </c>
      <c r="C362">
        <f t="shared" si="12"/>
        <v>1091</v>
      </c>
      <c r="D362" s="2">
        <f t="shared" si="13"/>
        <v>19.409836065573771</v>
      </c>
    </row>
    <row r="363" spans="1:4" x14ac:dyDescent="0.2">
      <c r="A363">
        <v>362</v>
      </c>
      <c r="B363">
        <v>0</v>
      </c>
      <c r="C363">
        <f t="shared" si="12"/>
        <v>1092</v>
      </c>
      <c r="D363" s="2">
        <f t="shared" si="13"/>
        <v>19.409836065573771</v>
      </c>
    </row>
    <row r="364" spans="1:4" x14ac:dyDescent="0.2">
      <c r="A364">
        <v>363</v>
      </c>
      <c r="B364">
        <v>0</v>
      </c>
      <c r="C364">
        <f t="shared" si="12"/>
        <v>1093</v>
      </c>
      <c r="D364" s="2">
        <f t="shared" si="13"/>
        <v>19.409836065573771</v>
      </c>
    </row>
    <row r="365" spans="1:4" x14ac:dyDescent="0.2">
      <c r="A365">
        <v>364</v>
      </c>
      <c r="B365">
        <v>0</v>
      </c>
      <c r="C365">
        <f t="shared" si="12"/>
        <v>1094</v>
      </c>
      <c r="D365" s="2">
        <f t="shared" si="13"/>
        <v>19.409836065573771</v>
      </c>
    </row>
    <row r="366" spans="1:4" x14ac:dyDescent="0.2">
      <c r="A366">
        <v>365</v>
      </c>
      <c r="B366">
        <v>0</v>
      </c>
      <c r="C366">
        <f t="shared" si="12"/>
        <v>1095</v>
      </c>
      <c r="D366" s="2">
        <f t="shared" si="13"/>
        <v>19.409836065573771</v>
      </c>
    </row>
    <row r="367" spans="1:4" x14ac:dyDescent="0.2">
      <c r="A367">
        <v>366</v>
      </c>
      <c r="B367">
        <v>0</v>
      </c>
      <c r="C367">
        <f t="shared" si="12"/>
        <v>1096</v>
      </c>
      <c r="D367" s="2">
        <f t="shared" si="13"/>
        <v>19.409836065573771</v>
      </c>
    </row>
    <row r="368" spans="1:4" x14ac:dyDescent="0.2">
      <c r="A368">
        <v>367</v>
      </c>
      <c r="B368">
        <v>0</v>
      </c>
      <c r="C368">
        <f t="shared" si="12"/>
        <v>1097</v>
      </c>
      <c r="D368" s="2">
        <f t="shared" si="13"/>
        <v>19.409836065573771</v>
      </c>
    </row>
    <row r="369" spans="1:4" x14ac:dyDescent="0.2">
      <c r="A369">
        <v>368</v>
      </c>
      <c r="B369">
        <v>0</v>
      </c>
      <c r="C369">
        <f t="shared" si="12"/>
        <v>1098</v>
      </c>
      <c r="D369" s="2">
        <f t="shared" si="13"/>
        <v>19.409836065573771</v>
      </c>
    </row>
    <row r="370" spans="1:4" x14ac:dyDescent="0.2">
      <c r="A370">
        <v>369</v>
      </c>
      <c r="B370">
        <v>0</v>
      </c>
      <c r="C370">
        <f t="shared" si="12"/>
        <v>1099</v>
      </c>
      <c r="D370" s="2">
        <f t="shared" si="13"/>
        <v>19.409836065573771</v>
      </c>
    </row>
    <row r="371" spans="1:4" x14ac:dyDescent="0.2">
      <c r="A371">
        <v>370</v>
      </c>
      <c r="B371">
        <v>0</v>
      </c>
      <c r="C371">
        <f t="shared" si="12"/>
        <v>1100</v>
      </c>
      <c r="D371" s="2">
        <f t="shared" si="13"/>
        <v>19.409836065573771</v>
      </c>
    </row>
    <row r="372" spans="1:4" x14ac:dyDescent="0.2">
      <c r="A372">
        <v>371</v>
      </c>
      <c r="B372">
        <v>0</v>
      </c>
      <c r="C372">
        <f t="shared" si="12"/>
        <v>1101</v>
      </c>
      <c r="D372" s="2">
        <f t="shared" si="13"/>
        <v>19.409836065573771</v>
      </c>
    </row>
    <row r="373" spans="1:4" x14ac:dyDescent="0.2">
      <c r="A373">
        <v>372</v>
      </c>
      <c r="B373">
        <v>0</v>
      </c>
      <c r="C373">
        <f t="shared" si="12"/>
        <v>1102</v>
      </c>
      <c r="D373" s="2">
        <f t="shared" si="13"/>
        <v>19.409836065573771</v>
      </c>
    </row>
    <row r="374" spans="1:4" x14ac:dyDescent="0.2">
      <c r="A374">
        <v>373</v>
      </c>
      <c r="B374">
        <v>0</v>
      </c>
      <c r="C374">
        <f t="shared" si="12"/>
        <v>1103</v>
      </c>
      <c r="D374" s="2">
        <f t="shared" si="13"/>
        <v>19.409836065573771</v>
      </c>
    </row>
    <row r="375" spans="1:4" x14ac:dyDescent="0.2">
      <c r="A375">
        <v>374</v>
      </c>
      <c r="B375">
        <v>0</v>
      </c>
      <c r="C375">
        <f t="shared" si="12"/>
        <v>1104</v>
      </c>
      <c r="D375" s="2">
        <f t="shared" si="13"/>
        <v>19.409836065573771</v>
      </c>
    </row>
    <row r="376" spans="1:4" x14ac:dyDescent="0.2">
      <c r="A376">
        <v>375</v>
      </c>
      <c r="B376">
        <v>0</v>
      </c>
      <c r="C376">
        <f t="shared" si="12"/>
        <v>1105</v>
      </c>
      <c r="D376" s="2">
        <f t="shared" si="13"/>
        <v>19.409836065573771</v>
      </c>
    </row>
    <row r="377" spans="1:4" x14ac:dyDescent="0.2">
      <c r="A377">
        <v>376</v>
      </c>
      <c r="B377">
        <v>0</v>
      </c>
      <c r="C377">
        <f t="shared" si="12"/>
        <v>1106</v>
      </c>
      <c r="D377" s="2">
        <f t="shared" si="13"/>
        <v>19.409836065573771</v>
      </c>
    </row>
    <row r="378" spans="1:4" x14ac:dyDescent="0.2">
      <c r="A378">
        <v>377</v>
      </c>
      <c r="B378">
        <v>0</v>
      </c>
      <c r="C378">
        <f t="shared" si="12"/>
        <v>1107</v>
      </c>
      <c r="D378" s="2">
        <f t="shared" si="13"/>
        <v>19.409836065573771</v>
      </c>
    </row>
    <row r="379" spans="1:4" x14ac:dyDescent="0.2">
      <c r="A379">
        <v>378</v>
      </c>
      <c r="B379">
        <v>0</v>
      </c>
      <c r="C379">
        <f t="shared" si="12"/>
        <v>1108</v>
      </c>
      <c r="D379" s="2">
        <f t="shared" si="13"/>
        <v>19.409836065573771</v>
      </c>
    </row>
    <row r="380" spans="1:4" x14ac:dyDescent="0.2">
      <c r="A380">
        <v>379</v>
      </c>
      <c r="B380">
        <v>0</v>
      </c>
      <c r="C380">
        <f t="shared" si="12"/>
        <v>1109</v>
      </c>
      <c r="D380" s="2">
        <f t="shared" si="13"/>
        <v>19.409836065573771</v>
      </c>
    </row>
    <row r="381" spans="1:4" x14ac:dyDescent="0.2">
      <c r="A381">
        <v>380</v>
      </c>
      <c r="B381">
        <v>0</v>
      </c>
      <c r="C381">
        <f t="shared" si="12"/>
        <v>1110</v>
      </c>
      <c r="D381" s="2">
        <f t="shared" si="13"/>
        <v>19.409836065573771</v>
      </c>
    </row>
    <row r="382" spans="1:4" x14ac:dyDescent="0.2">
      <c r="A382">
        <v>381</v>
      </c>
      <c r="B382">
        <v>0</v>
      </c>
      <c r="C382">
        <f t="shared" si="12"/>
        <v>1111</v>
      </c>
      <c r="D382" s="2">
        <f t="shared" si="13"/>
        <v>19.409836065573771</v>
      </c>
    </row>
    <row r="383" spans="1:4" x14ac:dyDescent="0.2">
      <c r="A383">
        <v>382</v>
      </c>
      <c r="B383">
        <v>0</v>
      </c>
      <c r="C383">
        <f t="shared" si="12"/>
        <v>1112</v>
      </c>
      <c r="D383" s="2">
        <f t="shared" si="13"/>
        <v>19.409836065573771</v>
      </c>
    </row>
    <row r="384" spans="1:4" x14ac:dyDescent="0.2">
      <c r="A384">
        <v>383</v>
      </c>
      <c r="B384">
        <v>0</v>
      </c>
      <c r="C384">
        <f t="shared" si="12"/>
        <v>1113</v>
      </c>
      <c r="D384" s="2">
        <f t="shared" si="13"/>
        <v>19.409836065573771</v>
      </c>
    </row>
    <row r="385" spans="1:4" x14ac:dyDescent="0.2">
      <c r="A385">
        <v>384</v>
      </c>
      <c r="B385">
        <v>0</v>
      </c>
      <c r="C385">
        <f t="shared" si="12"/>
        <v>1114</v>
      </c>
      <c r="D385" s="2">
        <f t="shared" si="13"/>
        <v>19.409836065573771</v>
      </c>
    </row>
    <row r="386" spans="1:4" x14ac:dyDescent="0.2">
      <c r="A386">
        <v>385</v>
      </c>
      <c r="B386">
        <v>0</v>
      </c>
      <c r="C386">
        <f t="shared" si="12"/>
        <v>1115</v>
      </c>
      <c r="D386" s="2">
        <f t="shared" si="13"/>
        <v>19.409836065573771</v>
      </c>
    </row>
    <row r="387" spans="1:4" x14ac:dyDescent="0.2">
      <c r="A387">
        <v>386</v>
      </c>
      <c r="B387">
        <v>0</v>
      </c>
      <c r="C387">
        <f t="shared" ref="C387:C450" si="14">A387+730</f>
        <v>1116</v>
      </c>
      <c r="D387" s="2">
        <f t="shared" si="13"/>
        <v>19.409836065573771</v>
      </c>
    </row>
    <row r="388" spans="1:4" x14ac:dyDescent="0.2">
      <c r="A388">
        <v>387</v>
      </c>
      <c r="B388">
        <v>0</v>
      </c>
      <c r="C388">
        <f t="shared" si="14"/>
        <v>1117</v>
      </c>
      <c r="D388" s="2">
        <f t="shared" ref="D388:D451" si="15">$D$2</f>
        <v>19.409836065573771</v>
      </c>
    </row>
    <row r="389" spans="1:4" x14ac:dyDescent="0.2">
      <c r="A389">
        <v>388</v>
      </c>
      <c r="B389">
        <v>0</v>
      </c>
      <c r="C389">
        <f t="shared" si="14"/>
        <v>1118</v>
      </c>
      <c r="D389" s="2">
        <f t="shared" si="15"/>
        <v>19.409836065573771</v>
      </c>
    </row>
    <row r="390" spans="1:4" x14ac:dyDescent="0.2">
      <c r="A390">
        <v>389</v>
      </c>
      <c r="B390">
        <v>0</v>
      </c>
      <c r="C390">
        <f t="shared" si="14"/>
        <v>1119</v>
      </c>
      <c r="D390" s="2">
        <f t="shared" si="15"/>
        <v>19.409836065573771</v>
      </c>
    </row>
    <row r="391" spans="1:4" x14ac:dyDescent="0.2">
      <c r="A391">
        <v>390</v>
      </c>
      <c r="B391">
        <v>0</v>
      </c>
      <c r="C391">
        <f t="shared" si="14"/>
        <v>1120</v>
      </c>
      <c r="D391" s="2">
        <f t="shared" si="15"/>
        <v>19.409836065573771</v>
      </c>
    </row>
    <row r="392" spans="1:4" x14ac:dyDescent="0.2">
      <c r="A392">
        <v>391</v>
      </c>
      <c r="B392">
        <v>0</v>
      </c>
      <c r="C392">
        <f t="shared" si="14"/>
        <v>1121</v>
      </c>
      <c r="D392" s="2">
        <f t="shared" si="15"/>
        <v>19.409836065573771</v>
      </c>
    </row>
    <row r="393" spans="1:4" x14ac:dyDescent="0.2">
      <c r="A393">
        <v>392</v>
      </c>
      <c r="B393">
        <v>0</v>
      </c>
      <c r="C393">
        <f t="shared" si="14"/>
        <v>1122</v>
      </c>
      <c r="D393" s="2">
        <f t="shared" si="15"/>
        <v>19.409836065573771</v>
      </c>
    </row>
    <row r="394" spans="1:4" x14ac:dyDescent="0.2">
      <c r="A394">
        <v>393</v>
      </c>
      <c r="B394">
        <v>0</v>
      </c>
      <c r="C394">
        <f t="shared" si="14"/>
        <v>1123</v>
      </c>
      <c r="D394" s="2">
        <f t="shared" si="15"/>
        <v>19.409836065573771</v>
      </c>
    </row>
    <row r="395" spans="1:4" x14ac:dyDescent="0.2">
      <c r="A395">
        <v>394</v>
      </c>
      <c r="B395">
        <v>0</v>
      </c>
      <c r="C395">
        <f t="shared" si="14"/>
        <v>1124</v>
      </c>
      <c r="D395" s="2">
        <f t="shared" si="15"/>
        <v>19.409836065573771</v>
      </c>
    </row>
    <row r="396" spans="1:4" x14ac:dyDescent="0.2">
      <c r="A396">
        <v>395</v>
      </c>
      <c r="B396">
        <v>0</v>
      </c>
      <c r="C396">
        <f t="shared" si="14"/>
        <v>1125</v>
      </c>
      <c r="D396" s="2">
        <f t="shared" si="15"/>
        <v>19.409836065573771</v>
      </c>
    </row>
    <row r="397" spans="1:4" x14ac:dyDescent="0.2">
      <c r="A397">
        <v>396</v>
      </c>
      <c r="B397">
        <v>0</v>
      </c>
      <c r="C397">
        <f t="shared" si="14"/>
        <v>1126</v>
      </c>
      <c r="D397" s="2">
        <f t="shared" si="15"/>
        <v>19.409836065573771</v>
      </c>
    </row>
    <row r="398" spans="1:4" x14ac:dyDescent="0.2">
      <c r="A398">
        <v>397</v>
      </c>
      <c r="B398">
        <v>0</v>
      </c>
      <c r="C398">
        <f t="shared" si="14"/>
        <v>1127</v>
      </c>
      <c r="D398" s="2">
        <f t="shared" si="15"/>
        <v>19.409836065573771</v>
      </c>
    </row>
    <row r="399" spans="1:4" x14ac:dyDescent="0.2">
      <c r="A399">
        <v>398</v>
      </c>
      <c r="B399">
        <v>0</v>
      </c>
      <c r="C399">
        <f t="shared" si="14"/>
        <v>1128</v>
      </c>
      <c r="D399" s="2">
        <f t="shared" si="15"/>
        <v>19.409836065573771</v>
      </c>
    </row>
    <row r="400" spans="1:4" x14ac:dyDescent="0.2">
      <c r="A400">
        <v>399</v>
      </c>
      <c r="B400">
        <v>0</v>
      </c>
      <c r="C400">
        <f t="shared" si="14"/>
        <v>1129</v>
      </c>
      <c r="D400" s="2">
        <f t="shared" si="15"/>
        <v>19.409836065573771</v>
      </c>
    </row>
    <row r="401" spans="1:4" x14ac:dyDescent="0.2">
      <c r="A401">
        <v>400</v>
      </c>
      <c r="B401">
        <v>0</v>
      </c>
      <c r="C401">
        <f t="shared" si="14"/>
        <v>1130</v>
      </c>
      <c r="D401" s="2">
        <f t="shared" si="15"/>
        <v>19.409836065573771</v>
      </c>
    </row>
    <row r="402" spans="1:4" x14ac:dyDescent="0.2">
      <c r="A402">
        <v>401</v>
      </c>
      <c r="B402">
        <v>0</v>
      </c>
      <c r="C402">
        <f t="shared" si="14"/>
        <v>1131</v>
      </c>
      <c r="D402" s="2">
        <f t="shared" si="15"/>
        <v>19.409836065573771</v>
      </c>
    </row>
    <row r="403" spans="1:4" x14ac:dyDescent="0.2">
      <c r="A403">
        <v>402</v>
      </c>
      <c r="B403">
        <v>0</v>
      </c>
      <c r="C403">
        <f t="shared" si="14"/>
        <v>1132</v>
      </c>
      <c r="D403" s="2">
        <f t="shared" si="15"/>
        <v>19.409836065573771</v>
      </c>
    </row>
    <row r="404" spans="1:4" x14ac:dyDescent="0.2">
      <c r="A404">
        <v>403</v>
      </c>
      <c r="B404">
        <v>0</v>
      </c>
      <c r="C404">
        <f t="shared" si="14"/>
        <v>1133</v>
      </c>
      <c r="D404" s="2">
        <f t="shared" si="15"/>
        <v>19.409836065573771</v>
      </c>
    </row>
    <row r="405" spans="1:4" x14ac:dyDescent="0.2">
      <c r="A405">
        <v>404</v>
      </c>
      <c r="B405">
        <v>0</v>
      </c>
      <c r="C405">
        <f t="shared" si="14"/>
        <v>1134</v>
      </c>
      <c r="D405" s="2">
        <f t="shared" si="15"/>
        <v>19.409836065573771</v>
      </c>
    </row>
    <row r="406" spans="1:4" x14ac:dyDescent="0.2">
      <c r="A406">
        <v>405</v>
      </c>
      <c r="B406">
        <v>0</v>
      </c>
      <c r="C406">
        <f t="shared" si="14"/>
        <v>1135</v>
      </c>
      <c r="D406" s="2">
        <f t="shared" si="15"/>
        <v>19.409836065573771</v>
      </c>
    </row>
    <row r="407" spans="1:4" x14ac:dyDescent="0.2">
      <c r="A407">
        <v>406</v>
      </c>
      <c r="B407">
        <v>0</v>
      </c>
      <c r="C407">
        <f t="shared" si="14"/>
        <v>1136</v>
      </c>
      <c r="D407" s="2">
        <f t="shared" si="15"/>
        <v>19.409836065573771</v>
      </c>
    </row>
    <row r="408" spans="1:4" x14ac:dyDescent="0.2">
      <c r="A408">
        <v>407</v>
      </c>
      <c r="B408">
        <v>0</v>
      </c>
      <c r="C408">
        <f t="shared" si="14"/>
        <v>1137</v>
      </c>
      <c r="D408" s="2">
        <f t="shared" si="15"/>
        <v>19.409836065573771</v>
      </c>
    </row>
    <row r="409" spans="1:4" x14ac:dyDescent="0.2">
      <c r="A409">
        <v>408</v>
      </c>
      <c r="B409">
        <v>0</v>
      </c>
      <c r="C409">
        <f t="shared" si="14"/>
        <v>1138</v>
      </c>
      <c r="D409" s="2">
        <f t="shared" si="15"/>
        <v>19.409836065573771</v>
      </c>
    </row>
    <row r="410" spans="1:4" x14ac:dyDescent="0.2">
      <c r="A410">
        <v>409</v>
      </c>
      <c r="B410">
        <v>0</v>
      </c>
      <c r="C410">
        <f t="shared" si="14"/>
        <v>1139</v>
      </c>
      <c r="D410" s="2">
        <f t="shared" si="15"/>
        <v>19.409836065573771</v>
      </c>
    </row>
    <row r="411" spans="1:4" x14ac:dyDescent="0.2">
      <c r="A411">
        <v>410</v>
      </c>
      <c r="B411">
        <v>0</v>
      </c>
      <c r="C411">
        <f t="shared" si="14"/>
        <v>1140</v>
      </c>
      <c r="D411" s="2">
        <f t="shared" si="15"/>
        <v>19.409836065573771</v>
      </c>
    </row>
    <row r="412" spans="1:4" x14ac:dyDescent="0.2">
      <c r="A412">
        <v>411</v>
      </c>
      <c r="B412">
        <v>0</v>
      </c>
      <c r="C412">
        <f t="shared" si="14"/>
        <v>1141</v>
      </c>
      <c r="D412" s="2">
        <f t="shared" si="15"/>
        <v>19.409836065573771</v>
      </c>
    </row>
    <row r="413" spans="1:4" x14ac:dyDescent="0.2">
      <c r="A413">
        <v>412</v>
      </c>
      <c r="B413">
        <v>0</v>
      </c>
      <c r="C413">
        <f t="shared" si="14"/>
        <v>1142</v>
      </c>
      <c r="D413" s="2">
        <f t="shared" si="15"/>
        <v>19.409836065573771</v>
      </c>
    </row>
    <row r="414" spans="1:4" x14ac:dyDescent="0.2">
      <c r="A414">
        <v>413</v>
      </c>
      <c r="B414">
        <v>0</v>
      </c>
      <c r="C414">
        <f t="shared" si="14"/>
        <v>1143</v>
      </c>
      <c r="D414" s="2">
        <f t="shared" si="15"/>
        <v>19.409836065573771</v>
      </c>
    </row>
    <row r="415" spans="1:4" x14ac:dyDescent="0.2">
      <c r="A415">
        <v>414</v>
      </c>
      <c r="B415">
        <v>0</v>
      </c>
      <c r="C415">
        <f t="shared" si="14"/>
        <v>1144</v>
      </c>
      <c r="D415" s="2">
        <f t="shared" si="15"/>
        <v>19.409836065573771</v>
      </c>
    </row>
    <row r="416" spans="1:4" x14ac:dyDescent="0.2">
      <c r="A416">
        <v>415</v>
      </c>
      <c r="B416">
        <v>0</v>
      </c>
      <c r="C416">
        <f t="shared" si="14"/>
        <v>1145</v>
      </c>
      <c r="D416" s="2">
        <f t="shared" si="15"/>
        <v>19.409836065573771</v>
      </c>
    </row>
    <row r="417" spans="1:4" x14ac:dyDescent="0.2">
      <c r="A417">
        <v>416</v>
      </c>
      <c r="B417">
        <v>0</v>
      </c>
      <c r="C417">
        <f t="shared" si="14"/>
        <v>1146</v>
      </c>
      <c r="D417" s="2">
        <f t="shared" si="15"/>
        <v>19.409836065573771</v>
      </c>
    </row>
    <row r="418" spans="1:4" x14ac:dyDescent="0.2">
      <c r="A418">
        <v>417</v>
      </c>
      <c r="B418">
        <v>0</v>
      </c>
      <c r="C418">
        <f t="shared" si="14"/>
        <v>1147</v>
      </c>
      <c r="D418" s="2">
        <f t="shared" si="15"/>
        <v>19.409836065573771</v>
      </c>
    </row>
    <row r="419" spans="1:4" x14ac:dyDescent="0.2">
      <c r="A419">
        <v>418</v>
      </c>
      <c r="B419">
        <v>0</v>
      </c>
      <c r="C419">
        <f t="shared" si="14"/>
        <v>1148</v>
      </c>
      <c r="D419" s="2">
        <f t="shared" si="15"/>
        <v>19.409836065573771</v>
      </c>
    </row>
    <row r="420" spans="1:4" x14ac:dyDescent="0.2">
      <c r="A420">
        <v>419</v>
      </c>
      <c r="B420">
        <v>0</v>
      </c>
      <c r="C420">
        <f t="shared" si="14"/>
        <v>1149</v>
      </c>
      <c r="D420" s="2">
        <f t="shared" si="15"/>
        <v>19.409836065573771</v>
      </c>
    </row>
    <row r="421" spans="1:4" x14ac:dyDescent="0.2">
      <c r="A421">
        <v>420</v>
      </c>
      <c r="B421">
        <v>0</v>
      </c>
      <c r="C421">
        <f t="shared" si="14"/>
        <v>1150</v>
      </c>
      <c r="D421" s="2">
        <f t="shared" si="15"/>
        <v>19.409836065573771</v>
      </c>
    </row>
    <row r="422" spans="1:4" x14ac:dyDescent="0.2">
      <c r="A422">
        <v>421</v>
      </c>
      <c r="B422">
        <v>0</v>
      </c>
      <c r="C422">
        <f t="shared" si="14"/>
        <v>1151</v>
      </c>
      <c r="D422" s="2">
        <f t="shared" si="15"/>
        <v>19.409836065573771</v>
      </c>
    </row>
    <row r="423" spans="1:4" x14ac:dyDescent="0.2">
      <c r="A423">
        <v>422</v>
      </c>
      <c r="B423">
        <v>0</v>
      </c>
      <c r="C423">
        <f t="shared" si="14"/>
        <v>1152</v>
      </c>
      <c r="D423" s="2">
        <f t="shared" si="15"/>
        <v>19.409836065573771</v>
      </c>
    </row>
    <row r="424" spans="1:4" x14ac:dyDescent="0.2">
      <c r="A424">
        <v>423</v>
      </c>
      <c r="B424">
        <v>0</v>
      </c>
      <c r="C424">
        <f t="shared" si="14"/>
        <v>1153</v>
      </c>
      <c r="D424" s="2">
        <f t="shared" si="15"/>
        <v>19.409836065573771</v>
      </c>
    </row>
    <row r="425" spans="1:4" x14ac:dyDescent="0.2">
      <c r="A425">
        <v>424</v>
      </c>
      <c r="B425">
        <v>0</v>
      </c>
      <c r="C425">
        <f t="shared" si="14"/>
        <v>1154</v>
      </c>
      <c r="D425" s="2">
        <f t="shared" si="15"/>
        <v>19.409836065573771</v>
      </c>
    </row>
    <row r="426" spans="1:4" x14ac:dyDescent="0.2">
      <c r="A426">
        <v>425</v>
      </c>
      <c r="B426">
        <v>0</v>
      </c>
      <c r="C426">
        <f t="shared" si="14"/>
        <v>1155</v>
      </c>
      <c r="D426" s="2">
        <f t="shared" si="15"/>
        <v>19.409836065573771</v>
      </c>
    </row>
    <row r="427" spans="1:4" x14ac:dyDescent="0.2">
      <c r="A427">
        <v>426</v>
      </c>
      <c r="B427">
        <v>0</v>
      </c>
      <c r="C427">
        <f t="shared" si="14"/>
        <v>1156</v>
      </c>
      <c r="D427" s="2">
        <f t="shared" si="15"/>
        <v>19.409836065573771</v>
      </c>
    </row>
    <row r="428" spans="1:4" x14ac:dyDescent="0.2">
      <c r="A428">
        <v>427</v>
      </c>
      <c r="B428">
        <v>0</v>
      </c>
      <c r="C428">
        <f t="shared" si="14"/>
        <v>1157</v>
      </c>
      <c r="D428" s="2">
        <f t="shared" si="15"/>
        <v>19.409836065573771</v>
      </c>
    </row>
    <row r="429" spans="1:4" x14ac:dyDescent="0.2">
      <c r="A429">
        <v>428</v>
      </c>
      <c r="B429">
        <v>0</v>
      </c>
      <c r="C429">
        <f t="shared" si="14"/>
        <v>1158</v>
      </c>
      <c r="D429" s="2">
        <f t="shared" si="15"/>
        <v>19.409836065573771</v>
      </c>
    </row>
    <row r="430" spans="1:4" x14ac:dyDescent="0.2">
      <c r="A430">
        <v>429</v>
      </c>
      <c r="B430">
        <v>0</v>
      </c>
      <c r="C430">
        <f t="shared" si="14"/>
        <v>1159</v>
      </c>
      <c r="D430" s="2">
        <f t="shared" si="15"/>
        <v>19.409836065573771</v>
      </c>
    </row>
    <row r="431" spans="1:4" x14ac:dyDescent="0.2">
      <c r="A431">
        <v>430</v>
      </c>
      <c r="B431">
        <v>0</v>
      </c>
      <c r="C431">
        <f t="shared" si="14"/>
        <v>1160</v>
      </c>
      <c r="D431" s="2">
        <f t="shared" si="15"/>
        <v>19.409836065573771</v>
      </c>
    </row>
    <row r="432" spans="1:4" x14ac:dyDescent="0.2">
      <c r="A432">
        <v>431</v>
      </c>
      <c r="B432">
        <v>0</v>
      </c>
      <c r="C432">
        <f t="shared" si="14"/>
        <v>1161</v>
      </c>
      <c r="D432" s="2">
        <f t="shared" si="15"/>
        <v>19.409836065573771</v>
      </c>
    </row>
    <row r="433" spans="1:4" x14ac:dyDescent="0.2">
      <c r="A433">
        <v>432</v>
      </c>
      <c r="B433">
        <v>0</v>
      </c>
      <c r="C433">
        <f t="shared" si="14"/>
        <v>1162</v>
      </c>
      <c r="D433" s="2">
        <f t="shared" si="15"/>
        <v>19.409836065573771</v>
      </c>
    </row>
    <row r="434" spans="1:4" x14ac:dyDescent="0.2">
      <c r="A434">
        <v>433</v>
      </c>
      <c r="B434">
        <v>0</v>
      </c>
      <c r="C434">
        <f t="shared" si="14"/>
        <v>1163</v>
      </c>
      <c r="D434" s="2">
        <f t="shared" si="15"/>
        <v>19.409836065573771</v>
      </c>
    </row>
    <row r="435" spans="1:4" x14ac:dyDescent="0.2">
      <c r="A435">
        <v>434</v>
      </c>
      <c r="B435">
        <v>0</v>
      </c>
      <c r="C435">
        <f t="shared" si="14"/>
        <v>1164</v>
      </c>
      <c r="D435" s="2">
        <f t="shared" si="15"/>
        <v>19.409836065573771</v>
      </c>
    </row>
    <row r="436" spans="1:4" x14ac:dyDescent="0.2">
      <c r="A436">
        <v>435</v>
      </c>
      <c r="B436">
        <v>0</v>
      </c>
      <c r="C436">
        <f t="shared" si="14"/>
        <v>1165</v>
      </c>
      <c r="D436" s="2">
        <f t="shared" si="15"/>
        <v>19.409836065573771</v>
      </c>
    </row>
    <row r="437" spans="1:4" x14ac:dyDescent="0.2">
      <c r="A437">
        <v>436</v>
      </c>
      <c r="B437">
        <v>0</v>
      </c>
      <c r="C437">
        <f t="shared" si="14"/>
        <v>1166</v>
      </c>
      <c r="D437" s="2">
        <f t="shared" si="15"/>
        <v>19.409836065573771</v>
      </c>
    </row>
    <row r="438" spans="1:4" x14ac:dyDescent="0.2">
      <c r="A438">
        <v>437</v>
      </c>
      <c r="B438">
        <v>0</v>
      </c>
      <c r="C438">
        <f t="shared" si="14"/>
        <v>1167</v>
      </c>
      <c r="D438" s="2">
        <f t="shared" si="15"/>
        <v>19.409836065573771</v>
      </c>
    </row>
    <row r="439" spans="1:4" x14ac:dyDescent="0.2">
      <c r="A439">
        <v>438</v>
      </c>
      <c r="B439">
        <v>0</v>
      </c>
      <c r="C439">
        <f t="shared" si="14"/>
        <v>1168</v>
      </c>
      <c r="D439" s="2">
        <f t="shared" si="15"/>
        <v>19.409836065573771</v>
      </c>
    </row>
    <row r="440" spans="1:4" x14ac:dyDescent="0.2">
      <c r="A440">
        <v>439</v>
      </c>
      <c r="B440">
        <v>0</v>
      </c>
      <c r="C440">
        <f t="shared" si="14"/>
        <v>1169</v>
      </c>
      <c r="D440" s="2">
        <f t="shared" si="15"/>
        <v>19.409836065573771</v>
      </c>
    </row>
    <row r="441" spans="1:4" x14ac:dyDescent="0.2">
      <c r="A441">
        <v>440</v>
      </c>
      <c r="B441">
        <v>0</v>
      </c>
      <c r="C441">
        <f t="shared" si="14"/>
        <v>1170</v>
      </c>
      <c r="D441" s="2">
        <f t="shared" si="15"/>
        <v>19.409836065573771</v>
      </c>
    </row>
    <row r="442" spans="1:4" x14ac:dyDescent="0.2">
      <c r="A442">
        <v>441</v>
      </c>
      <c r="B442">
        <v>0</v>
      </c>
      <c r="C442">
        <f t="shared" si="14"/>
        <v>1171</v>
      </c>
      <c r="D442" s="2">
        <f t="shared" si="15"/>
        <v>19.409836065573771</v>
      </c>
    </row>
    <row r="443" spans="1:4" x14ac:dyDescent="0.2">
      <c r="A443">
        <v>442</v>
      </c>
      <c r="B443">
        <v>0</v>
      </c>
      <c r="C443">
        <f t="shared" si="14"/>
        <v>1172</v>
      </c>
      <c r="D443" s="2">
        <f t="shared" si="15"/>
        <v>19.409836065573771</v>
      </c>
    </row>
    <row r="444" spans="1:4" x14ac:dyDescent="0.2">
      <c r="A444">
        <v>443</v>
      </c>
      <c r="B444">
        <v>0</v>
      </c>
      <c r="C444">
        <f t="shared" si="14"/>
        <v>1173</v>
      </c>
      <c r="D444" s="2">
        <f t="shared" si="15"/>
        <v>19.409836065573771</v>
      </c>
    </row>
    <row r="445" spans="1:4" x14ac:dyDescent="0.2">
      <c r="A445">
        <v>444</v>
      </c>
      <c r="B445">
        <v>0</v>
      </c>
      <c r="C445">
        <f t="shared" si="14"/>
        <v>1174</v>
      </c>
      <c r="D445" s="2">
        <f t="shared" si="15"/>
        <v>19.409836065573771</v>
      </c>
    </row>
    <row r="446" spans="1:4" x14ac:dyDescent="0.2">
      <c r="A446">
        <v>445</v>
      </c>
      <c r="B446">
        <v>0</v>
      </c>
      <c r="C446">
        <f t="shared" si="14"/>
        <v>1175</v>
      </c>
      <c r="D446" s="2">
        <f t="shared" si="15"/>
        <v>19.409836065573771</v>
      </c>
    </row>
    <row r="447" spans="1:4" x14ac:dyDescent="0.2">
      <c r="A447">
        <v>446</v>
      </c>
      <c r="B447">
        <v>0</v>
      </c>
      <c r="C447">
        <f t="shared" si="14"/>
        <v>1176</v>
      </c>
      <c r="D447" s="2">
        <f t="shared" si="15"/>
        <v>19.409836065573771</v>
      </c>
    </row>
    <row r="448" spans="1:4" x14ac:dyDescent="0.2">
      <c r="A448">
        <v>447</v>
      </c>
      <c r="B448">
        <v>0</v>
      </c>
      <c r="C448">
        <f t="shared" si="14"/>
        <v>1177</v>
      </c>
      <c r="D448" s="2">
        <f t="shared" si="15"/>
        <v>19.409836065573771</v>
      </c>
    </row>
    <row r="449" spans="1:4" x14ac:dyDescent="0.2">
      <c r="A449">
        <v>448</v>
      </c>
      <c r="B449">
        <v>0</v>
      </c>
      <c r="C449">
        <f t="shared" si="14"/>
        <v>1178</v>
      </c>
      <c r="D449" s="2">
        <f t="shared" si="15"/>
        <v>19.409836065573771</v>
      </c>
    </row>
    <row r="450" spans="1:4" x14ac:dyDescent="0.2">
      <c r="A450">
        <v>449</v>
      </c>
      <c r="B450">
        <v>0</v>
      </c>
      <c r="C450">
        <f t="shared" si="14"/>
        <v>1179</v>
      </c>
      <c r="D450" s="2">
        <f t="shared" si="15"/>
        <v>19.409836065573771</v>
      </c>
    </row>
    <row r="451" spans="1:4" x14ac:dyDescent="0.2">
      <c r="A451">
        <v>450</v>
      </c>
      <c r="B451">
        <v>0</v>
      </c>
      <c r="C451">
        <f t="shared" ref="C451:C514" si="16">A451+730</f>
        <v>1180</v>
      </c>
      <c r="D451" s="2">
        <f t="shared" si="15"/>
        <v>19.409836065573771</v>
      </c>
    </row>
    <row r="452" spans="1:4" x14ac:dyDescent="0.2">
      <c r="A452">
        <v>451</v>
      </c>
      <c r="B452">
        <v>0</v>
      </c>
      <c r="C452">
        <f t="shared" si="16"/>
        <v>1181</v>
      </c>
      <c r="D452" s="2">
        <f t="shared" ref="D452:D515" si="17">$D$2</f>
        <v>19.409836065573771</v>
      </c>
    </row>
    <row r="453" spans="1:4" x14ac:dyDescent="0.2">
      <c r="A453">
        <v>452</v>
      </c>
      <c r="B453">
        <v>0</v>
      </c>
      <c r="C453">
        <f t="shared" si="16"/>
        <v>1182</v>
      </c>
      <c r="D453" s="2">
        <f t="shared" si="17"/>
        <v>19.409836065573771</v>
      </c>
    </row>
    <row r="454" spans="1:4" x14ac:dyDescent="0.2">
      <c r="A454">
        <v>453</v>
      </c>
      <c r="B454">
        <v>0</v>
      </c>
      <c r="C454">
        <f t="shared" si="16"/>
        <v>1183</v>
      </c>
      <c r="D454" s="2">
        <f t="shared" si="17"/>
        <v>19.409836065573771</v>
      </c>
    </row>
    <row r="455" spans="1:4" x14ac:dyDescent="0.2">
      <c r="A455">
        <v>454</v>
      </c>
      <c r="B455">
        <v>0</v>
      </c>
      <c r="C455">
        <f t="shared" si="16"/>
        <v>1184</v>
      </c>
      <c r="D455" s="2">
        <f t="shared" si="17"/>
        <v>19.409836065573771</v>
      </c>
    </row>
    <row r="456" spans="1:4" x14ac:dyDescent="0.2">
      <c r="A456">
        <v>455</v>
      </c>
      <c r="B456">
        <v>0</v>
      </c>
      <c r="C456">
        <f t="shared" si="16"/>
        <v>1185</v>
      </c>
      <c r="D456" s="2">
        <f t="shared" si="17"/>
        <v>19.409836065573771</v>
      </c>
    </row>
    <row r="457" spans="1:4" x14ac:dyDescent="0.2">
      <c r="A457">
        <v>456</v>
      </c>
      <c r="B457">
        <v>0</v>
      </c>
      <c r="C457">
        <f t="shared" si="16"/>
        <v>1186</v>
      </c>
      <c r="D457" s="2">
        <f t="shared" si="17"/>
        <v>19.409836065573771</v>
      </c>
    </row>
    <row r="458" spans="1:4" x14ac:dyDescent="0.2">
      <c r="A458">
        <v>457</v>
      </c>
      <c r="B458">
        <v>0</v>
      </c>
      <c r="C458">
        <f t="shared" si="16"/>
        <v>1187</v>
      </c>
      <c r="D458" s="2">
        <f t="shared" si="17"/>
        <v>19.409836065573771</v>
      </c>
    </row>
    <row r="459" spans="1:4" x14ac:dyDescent="0.2">
      <c r="A459">
        <v>458</v>
      </c>
      <c r="B459">
        <v>0</v>
      </c>
      <c r="C459">
        <f t="shared" si="16"/>
        <v>1188</v>
      </c>
      <c r="D459" s="2">
        <f t="shared" si="17"/>
        <v>19.409836065573771</v>
      </c>
    </row>
    <row r="460" spans="1:4" x14ac:dyDescent="0.2">
      <c r="A460">
        <v>459</v>
      </c>
      <c r="B460">
        <v>0</v>
      </c>
      <c r="C460">
        <f t="shared" si="16"/>
        <v>1189</v>
      </c>
      <c r="D460" s="2">
        <f t="shared" si="17"/>
        <v>19.409836065573771</v>
      </c>
    </row>
    <row r="461" spans="1:4" x14ac:dyDescent="0.2">
      <c r="A461">
        <v>460</v>
      </c>
      <c r="B461">
        <v>0</v>
      </c>
      <c r="C461">
        <f t="shared" si="16"/>
        <v>1190</v>
      </c>
      <c r="D461" s="2">
        <f t="shared" si="17"/>
        <v>19.409836065573771</v>
      </c>
    </row>
    <row r="462" spans="1:4" x14ac:dyDescent="0.2">
      <c r="A462">
        <v>461</v>
      </c>
      <c r="B462">
        <v>0</v>
      </c>
      <c r="C462">
        <f t="shared" si="16"/>
        <v>1191</v>
      </c>
      <c r="D462" s="2">
        <f t="shared" si="17"/>
        <v>19.409836065573771</v>
      </c>
    </row>
    <row r="463" spans="1:4" x14ac:dyDescent="0.2">
      <c r="A463">
        <v>462</v>
      </c>
      <c r="B463">
        <v>0</v>
      </c>
      <c r="C463">
        <f t="shared" si="16"/>
        <v>1192</v>
      </c>
      <c r="D463" s="2">
        <f t="shared" si="17"/>
        <v>19.409836065573771</v>
      </c>
    </row>
    <row r="464" spans="1:4" x14ac:dyDescent="0.2">
      <c r="A464">
        <v>463</v>
      </c>
      <c r="B464">
        <v>0</v>
      </c>
      <c r="C464">
        <f t="shared" si="16"/>
        <v>1193</v>
      </c>
      <c r="D464" s="2">
        <f t="shared" si="17"/>
        <v>19.409836065573771</v>
      </c>
    </row>
    <row r="465" spans="1:4" x14ac:dyDescent="0.2">
      <c r="A465">
        <v>464</v>
      </c>
      <c r="B465">
        <v>0</v>
      </c>
      <c r="C465">
        <f t="shared" si="16"/>
        <v>1194</v>
      </c>
      <c r="D465" s="2">
        <f t="shared" si="17"/>
        <v>19.409836065573771</v>
      </c>
    </row>
    <row r="466" spans="1:4" x14ac:dyDescent="0.2">
      <c r="A466">
        <v>465</v>
      </c>
      <c r="B466">
        <v>0</v>
      </c>
      <c r="C466">
        <f t="shared" si="16"/>
        <v>1195</v>
      </c>
      <c r="D466" s="2">
        <f t="shared" si="17"/>
        <v>19.409836065573771</v>
      </c>
    </row>
    <row r="467" spans="1:4" x14ac:dyDescent="0.2">
      <c r="A467">
        <v>466</v>
      </c>
      <c r="B467">
        <v>0</v>
      </c>
      <c r="C467">
        <f t="shared" si="16"/>
        <v>1196</v>
      </c>
      <c r="D467" s="2">
        <f t="shared" si="17"/>
        <v>19.409836065573771</v>
      </c>
    </row>
    <row r="468" spans="1:4" x14ac:dyDescent="0.2">
      <c r="A468">
        <v>467</v>
      </c>
      <c r="B468">
        <v>0</v>
      </c>
      <c r="C468">
        <f t="shared" si="16"/>
        <v>1197</v>
      </c>
      <c r="D468" s="2">
        <f t="shared" si="17"/>
        <v>19.409836065573771</v>
      </c>
    </row>
    <row r="469" spans="1:4" x14ac:dyDescent="0.2">
      <c r="A469">
        <v>468</v>
      </c>
      <c r="B469">
        <v>0</v>
      </c>
      <c r="C469">
        <f t="shared" si="16"/>
        <v>1198</v>
      </c>
      <c r="D469" s="2">
        <f t="shared" si="17"/>
        <v>19.409836065573771</v>
      </c>
    </row>
    <row r="470" spans="1:4" x14ac:dyDescent="0.2">
      <c r="A470">
        <v>469</v>
      </c>
      <c r="B470">
        <v>0</v>
      </c>
      <c r="C470">
        <f t="shared" si="16"/>
        <v>1199</v>
      </c>
      <c r="D470" s="2">
        <f t="shared" si="17"/>
        <v>19.409836065573771</v>
      </c>
    </row>
    <row r="471" spans="1:4" x14ac:dyDescent="0.2">
      <c r="A471">
        <v>470</v>
      </c>
      <c r="B471">
        <v>0</v>
      </c>
      <c r="C471">
        <f t="shared" si="16"/>
        <v>1200</v>
      </c>
      <c r="D471" s="2">
        <f t="shared" si="17"/>
        <v>19.409836065573771</v>
      </c>
    </row>
    <row r="472" spans="1:4" x14ac:dyDescent="0.2">
      <c r="A472">
        <v>471</v>
      </c>
      <c r="B472">
        <v>0</v>
      </c>
      <c r="C472">
        <f t="shared" si="16"/>
        <v>1201</v>
      </c>
      <c r="D472" s="2">
        <f t="shared" si="17"/>
        <v>19.409836065573771</v>
      </c>
    </row>
    <row r="473" spans="1:4" x14ac:dyDescent="0.2">
      <c r="A473">
        <v>472</v>
      </c>
      <c r="B473">
        <v>0</v>
      </c>
      <c r="C473">
        <f t="shared" si="16"/>
        <v>1202</v>
      </c>
      <c r="D473" s="2">
        <f t="shared" si="17"/>
        <v>19.409836065573771</v>
      </c>
    </row>
    <row r="474" spans="1:4" x14ac:dyDescent="0.2">
      <c r="A474">
        <v>473</v>
      </c>
      <c r="B474">
        <v>0</v>
      </c>
      <c r="C474">
        <f t="shared" si="16"/>
        <v>1203</v>
      </c>
      <c r="D474" s="2">
        <f t="shared" si="17"/>
        <v>19.409836065573771</v>
      </c>
    </row>
    <row r="475" spans="1:4" x14ac:dyDescent="0.2">
      <c r="A475">
        <v>474</v>
      </c>
      <c r="B475">
        <v>0</v>
      </c>
      <c r="C475">
        <f t="shared" si="16"/>
        <v>1204</v>
      </c>
      <c r="D475" s="2">
        <f t="shared" si="17"/>
        <v>19.409836065573771</v>
      </c>
    </row>
    <row r="476" spans="1:4" x14ac:dyDescent="0.2">
      <c r="A476">
        <v>475</v>
      </c>
      <c r="B476">
        <v>0</v>
      </c>
      <c r="C476">
        <f t="shared" si="16"/>
        <v>1205</v>
      </c>
      <c r="D476" s="2">
        <f t="shared" si="17"/>
        <v>19.409836065573771</v>
      </c>
    </row>
    <row r="477" spans="1:4" x14ac:dyDescent="0.2">
      <c r="A477">
        <v>476</v>
      </c>
      <c r="B477">
        <v>0</v>
      </c>
      <c r="C477">
        <f t="shared" si="16"/>
        <v>1206</v>
      </c>
      <c r="D477" s="2">
        <f t="shared" si="17"/>
        <v>19.409836065573771</v>
      </c>
    </row>
    <row r="478" spans="1:4" x14ac:dyDescent="0.2">
      <c r="A478">
        <v>477</v>
      </c>
      <c r="B478">
        <v>0</v>
      </c>
      <c r="C478">
        <f t="shared" si="16"/>
        <v>1207</v>
      </c>
      <c r="D478" s="2">
        <f t="shared" si="17"/>
        <v>19.409836065573771</v>
      </c>
    </row>
    <row r="479" spans="1:4" x14ac:dyDescent="0.2">
      <c r="A479">
        <v>478</v>
      </c>
      <c r="B479">
        <v>0</v>
      </c>
      <c r="C479">
        <f t="shared" si="16"/>
        <v>1208</v>
      </c>
      <c r="D479" s="2">
        <f t="shared" si="17"/>
        <v>19.409836065573771</v>
      </c>
    </row>
    <row r="480" spans="1:4" x14ac:dyDescent="0.2">
      <c r="A480">
        <v>479</v>
      </c>
      <c r="B480">
        <v>0</v>
      </c>
      <c r="C480">
        <f t="shared" si="16"/>
        <v>1209</v>
      </c>
      <c r="D480" s="2">
        <f t="shared" si="17"/>
        <v>19.409836065573771</v>
      </c>
    </row>
    <row r="481" spans="1:4" x14ac:dyDescent="0.2">
      <c r="A481">
        <v>480</v>
      </c>
      <c r="B481">
        <v>0</v>
      </c>
      <c r="C481">
        <f t="shared" si="16"/>
        <v>1210</v>
      </c>
      <c r="D481" s="2">
        <f t="shared" si="17"/>
        <v>19.409836065573771</v>
      </c>
    </row>
    <row r="482" spans="1:4" x14ac:dyDescent="0.2">
      <c r="A482">
        <v>481</v>
      </c>
      <c r="B482">
        <v>0</v>
      </c>
      <c r="C482">
        <f t="shared" si="16"/>
        <v>1211</v>
      </c>
      <c r="D482" s="2">
        <f t="shared" si="17"/>
        <v>19.409836065573771</v>
      </c>
    </row>
    <row r="483" spans="1:4" x14ac:dyDescent="0.2">
      <c r="A483">
        <v>482</v>
      </c>
      <c r="B483">
        <v>0</v>
      </c>
      <c r="C483">
        <f t="shared" si="16"/>
        <v>1212</v>
      </c>
      <c r="D483" s="2">
        <f t="shared" si="17"/>
        <v>19.409836065573771</v>
      </c>
    </row>
    <row r="484" spans="1:4" x14ac:dyDescent="0.2">
      <c r="A484">
        <v>483</v>
      </c>
      <c r="B484">
        <v>0</v>
      </c>
      <c r="C484">
        <f t="shared" si="16"/>
        <v>1213</v>
      </c>
      <c r="D484" s="2">
        <f t="shared" si="17"/>
        <v>19.409836065573771</v>
      </c>
    </row>
    <row r="485" spans="1:4" x14ac:dyDescent="0.2">
      <c r="A485">
        <v>484</v>
      </c>
      <c r="B485">
        <v>0</v>
      </c>
      <c r="C485">
        <f t="shared" si="16"/>
        <v>1214</v>
      </c>
      <c r="D485" s="2">
        <f t="shared" si="17"/>
        <v>19.409836065573771</v>
      </c>
    </row>
    <row r="486" spans="1:4" x14ac:dyDescent="0.2">
      <c r="A486">
        <v>485</v>
      </c>
      <c r="B486">
        <v>0</v>
      </c>
      <c r="C486">
        <f t="shared" si="16"/>
        <v>1215</v>
      </c>
      <c r="D486" s="2">
        <f t="shared" si="17"/>
        <v>19.409836065573771</v>
      </c>
    </row>
    <row r="487" spans="1:4" x14ac:dyDescent="0.2">
      <c r="A487">
        <v>486</v>
      </c>
      <c r="B487">
        <v>0</v>
      </c>
      <c r="C487">
        <f t="shared" si="16"/>
        <v>1216</v>
      </c>
      <c r="D487" s="2">
        <f t="shared" si="17"/>
        <v>19.409836065573771</v>
      </c>
    </row>
    <row r="488" spans="1:4" x14ac:dyDescent="0.2">
      <c r="A488">
        <v>487</v>
      </c>
      <c r="B488">
        <v>0</v>
      </c>
      <c r="C488">
        <f t="shared" si="16"/>
        <v>1217</v>
      </c>
      <c r="D488" s="2">
        <f t="shared" si="17"/>
        <v>19.409836065573771</v>
      </c>
    </row>
    <row r="489" spans="1:4" x14ac:dyDescent="0.2">
      <c r="A489">
        <v>488</v>
      </c>
      <c r="B489">
        <v>0</v>
      </c>
      <c r="C489">
        <f t="shared" si="16"/>
        <v>1218</v>
      </c>
      <c r="D489" s="2">
        <f t="shared" si="17"/>
        <v>19.409836065573771</v>
      </c>
    </row>
    <row r="490" spans="1:4" x14ac:dyDescent="0.2">
      <c r="A490">
        <v>489</v>
      </c>
      <c r="B490">
        <v>0</v>
      </c>
      <c r="C490">
        <f t="shared" si="16"/>
        <v>1219</v>
      </c>
      <c r="D490" s="2">
        <f t="shared" si="17"/>
        <v>19.409836065573771</v>
      </c>
    </row>
    <row r="491" spans="1:4" x14ac:dyDescent="0.2">
      <c r="A491">
        <v>490</v>
      </c>
      <c r="B491">
        <v>0</v>
      </c>
      <c r="C491">
        <f t="shared" si="16"/>
        <v>1220</v>
      </c>
      <c r="D491" s="2">
        <f t="shared" si="17"/>
        <v>19.409836065573771</v>
      </c>
    </row>
    <row r="492" spans="1:4" x14ac:dyDescent="0.2">
      <c r="A492">
        <v>491</v>
      </c>
      <c r="B492">
        <v>0</v>
      </c>
      <c r="C492">
        <f t="shared" si="16"/>
        <v>1221</v>
      </c>
      <c r="D492" s="2">
        <f t="shared" si="17"/>
        <v>19.409836065573771</v>
      </c>
    </row>
    <row r="493" spans="1:4" x14ac:dyDescent="0.2">
      <c r="A493">
        <v>492</v>
      </c>
      <c r="B493">
        <v>0</v>
      </c>
      <c r="C493">
        <f t="shared" si="16"/>
        <v>1222</v>
      </c>
      <c r="D493" s="2">
        <f t="shared" si="17"/>
        <v>19.409836065573771</v>
      </c>
    </row>
    <row r="494" spans="1:4" x14ac:dyDescent="0.2">
      <c r="A494">
        <v>493</v>
      </c>
      <c r="B494">
        <v>0</v>
      </c>
      <c r="C494">
        <f t="shared" si="16"/>
        <v>1223</v>
      </c>
      <c r="D494" s="2">
        <f t="shared" si="17"/>
        <v>19.409836065573771</v>
      </c>
    </row>
    <row r="495" spans="1:4" x14ac:dyDescent="0.2">
      <c r="A495">
        <v>494</v>
      </c>
      <c r="B495">
        <v>0</v>
      </c>
      <c r="C495">
        <f t="shared" si="16"/>
        <v>1224</v>
      </c>
      <c r="D495" s="2">
        <f t="shared" si="17"/>
        <v>19.409836065573771</v>
      </c>
    </row>
    <row r="496" spans="1:4" x14ac:dyDescent="0.2">
      <c r="A496">
        <v>495</v>
      </c>
      <c r="B496">
        <v>0</v>
      </c>
      <c r="C496">
        <f t="shared" si="16"/>
        <v>1225</v>
      </c>
      <c r="D496" s="2">
        <f t="shared" si="17"/>
        <v>19.409836065573771</v>
      </c>
    </row>
    <row r="497" spans="1:4" x14ac:dyDescent="0.2">
      <c r="A497">
        <v>496</v>
      </c>
      <c r="B497">
        <v>0</v>
      </c>
      <c r="C497">
        <f t="shared" si="16"/>
        <v>1226</v>
      </c>
      <c r="D497" s="2">
        <f t="shared" si="17"/>
        <v>19.409836065573771</v>
      </c>
    </row>
    <row r="498" spans="1:4" x14ac:dyDescent="0.2">
      <c r="A498">
        <v>497</v>
      </c>
      <c r="B498">
        <v>0</v>
      </c>
      <c r="C498">
        <f t="shared" si="16"/>
        <v>1227</v>
      </c>
      <c r="D498" s="2">
        <f t="shared" si="17"/>
        <v>19.409836065573771</v>
      </c>
    </row>
    <row r="499" spans="1:4" x14ac:dyDescent="0.2">
      <c r="A499">
        <v>498</v>
      </c>
      <c r="B499">
        <v>0</v>
      </c>
      <c r="C499">
        <f t="shared" si="16"/>
        <v>1228</v>
      </c>
      <c r="D499" s="2">
        <f t="shared" si="17"/>
        <v>19.409836065573771</v>
      </c>
    </row>
    <row r="500" spans="1:4" x14ac:dyDescent="0.2">
      <c r="A500">
        <v>499</v>
      </c>
      <c r="B500">
        <v>0</v>
      </c>
      <c r="C500">
        <f t="shared" si="16"/>
        <v>1229</v>
      </c>
      <c r="D500" s="2">
        <f t="shared" si="17"/>
        <v>19.409836065573771</v>
      </c>
    </row>
    <row r="501" spans="1:4" x14ac:dyDescent="0.2">
      <c r="A501">
        <v>500</v>
      </c>
      <c r="B501">
        <v>0</v>
      </c>
      <c r="C501">
        <f t="shared" si="16"/>
        <v>1230</v>
      </c>
      <c r="D501" s="2">
        <f t="shared" si="17"/>
        <v>19.409836065573771</v>
      </c>
    </row>
    <row r="502" spans="1:4" x14ac:dyDescent="0.2">
      <c r="A502">
        <v>501</v>
      </c>
      <c r="B502">
        <v>0</v>
      </c>
      <c r="C502">
        <f t="shared" si="16"/>
        <v>1231</v>
      </c>
      <c r="D502" s="2">
        <f t="shared" si="17"/>
        <v>19.409836065573771</v>
      </c>
    </row>
    <row r="503" spans="1:4" x14ac:dyDescent="0.2">
      <c r="A503">
        <v>502</v>
      </c>
      <c r="B503">
        <v>0</v>
      </c>
      <c r="C503">
        <f t="shared" si="16"/>
        <v>1232</v>
      </c>
      <c r="D503" s="2">
        <f t="shared" si="17"/>
        <v>19.409836065573771</v>
      </c>
    </row>
    <row r="504" spans="1:4" x14ac:dyDescent="0.2">
      <c r="A504">
        <v>503</v>
      </c>
      <c r="B504">
        <v>0</v>
      </c>
      <c r="C504">
        <f t="shared" si="16"/>
        <v>1233</v>
      </c>
      <c r="D504" s="2">
        <f t="shared" si="17"/>
        <v>19.409836065573771</v>
      </c>
    </row>
    <row r="505" spans="1:4" x14ac:dyDescent="0.2">
      <c r="A505">
        <v>504</v>
      </c>
      <c r="B505">
        <v>0</v>
      </c>
      <c r="C505">
        <f t="shared" si="16"/>
        <v>1234</v>
      </c>
      <c r="D505" s="2">
        <f t="shared" si="17"/>
        <v>19.409836065573771</v>
      </c>
    </row>
    <row r="506" spans="1:4" x14ac:dyDescent="0.2">
      <c r="A506">
        <v>505</v>
      </c>
      <c r="B506">
        <v>0</v>
      </c>
      <c r="C506">
        <f t="shared" si="16"/>
        <v>1235</v>
      </c>
      <c r="D506" s="2">
        <f t="shared" si="17"/>
        <v>19.409836065573771</v>
      </c>
    </row>
    <row r="507" spans="1:4" x14ac:dyDescent="0.2">
      <c r="A507">
        <v>506</v>
      </c>
      <c r="B507">
        <v>0</v>
      </c>
      <c r="C507">
        <f t="shared" si="16"/>
        <v>1236</v>
      </c>
      <c r="D507" s="2">
        <f t="shared" si="17"/>
        <v>19.409836065573771</v>
      </c>
    </row>
    <row r="508" spans="1:4" x14ac:dyDescent="0.2">
      <c r="A508">
        <v>507</v>
      </c>
      <c r="B508">
        <v>0</v>
      </c>
      <c r="C508">
        <f t="shared" si="16"/>
        <v>1237</v>
      </c>
      <c r="D508" s="2">
        <f t="shared" si="17"/>
        <v>19.409836065573771</v>
      </c>
    </row>
    <row r="509" spans="1:4" x14ac:dyDescent="0.2">
      <c r="A509">
        <v>508</v>
      </c>
      <c r="B509">
        <v>0</v>
      </c>
      <c r="C509">
        <f t="shared" si="16"/>
        <v>1238</v>
      </c>
      <c r="D509" s="2">
        <f t="shared" si="17"/>
        <v>19.409836065573771</v>
      </c>
    </row>
    <row r="510" spans="1:4" x14ac:dyDescent="0.2">
      <c r="A510">
        <v>509</v>
      </c>
      <c r="B510">
        <v>0</v>
      </c>
      <c r="C510">
        <f t="shared" si="16"/>
        <v>1239</v>
      </c>
      <c r="D510" s="2">
        <f t="shared" si="17"/>
        <v>19.409836065573771</v>
      </c>
    </row>
    <row r="511" spans="1:4" x14ac:dyDescent="0.2">
      <c r="A511">
        <v>510</v>
      </c>
      <c r="B511">
        <v>0</v>
      </c>
      <c r="C511">
        <f t="shared" si="16"/>
        <v>1240</v>
      </c>
      <c r="D511" s="2">
        <f t="shared" si="17"/>
        <v>19.409836065573771</v>
      </c>
    </row>
    <row r="512" spans="1:4" x14ac:dyDescent="0.2">
      <c r="A512">
        <v>511</v>
      </c>
      <c r="B512">
        <v>0</v>
      </c>
      <c r="C512">
        <f t="shared" si="16"/>
        <v>1241</v>
      </c>
      <c r="D512" s="2">
        <f t="shared" si="17"/>
        <v>19.409836065573771</v>
      </c>
    </row>
    <row r="513" spans="1:4" x14ac:dyDescent="0.2">
      <c r="A513">
        <v>512</v>
      </c>
      <c r="B513">
        <v>0</v>
      </c>
      <c r="C513">
        <f t="shared" si="16"/>
        <v>1242</v>
      </c>
      <c r="D513" s="2">
        <f t="shared" si="17"/>
        <v>19.409836065573771</v>
      </c>
    </row>
    <row r="514" spans="1:4" x14ac:dyDescent="0.2">
      <c r="A514">
        <v>513</v>
      </c>
      <c r="B514">
        <v>0</v>
      </c>
      <c r="C514">
        <f t="shared" si="16"/>
        <v>1243</v>
      </c>
      <c r="D514" s="2">
        <f t="shared" si="17"/>
        <v>19.409836065573771</v>
      </c>
    </row>
    <row r="515" spans="1:4" x14ac:dyDescent="0.2">
      <c r="A515">
        <v>514</v>
      </c>
      <c r="B515">
        <v>0</v>
      </c>
      <c r="C515">
        <f t="shared" ref="C515:C578" si="18">A515+730</f>
        <v>1244</v>
      </c>
      <c r="D515" s="2">
        <f t="shared" si="17"/>
        <v>19.409836065573771</v>
      </c>
    </row>
    <row r="516" spans="1:4" x14ac:dyDescent="0.2">
      <c r="A516">
        <v>515</v>
      </c>
      <c r="B516">
        <v>0</v>
      </c>
      <c r="C516">
        <f t="shared" si="18"/>
        <v>1245</v>
      </c>
      <c r="D516" s="2">
        <f t="shared" ref="D516:D579" si="19">$D$2</f>
        <v>19.409836065573771</v>
      </c>
    </row>
    <row r="517" spans="1:4" x14ac:dyDescent="0.2">
      <c r="A517">
        <v>516</v>
      </c>
      <c r="B517">
        <v>0</v>
      </c>
      <c r="C517">
        <f t="shared" si="18"/>
        <v>1246</v>
      </c>
      <c r="D517" s="2">
        <f t="shared" si="19"/>
        <v>19.409836065573771</v>
      </c>
    </row>
    <row r="518" spans="1:4" x14ac:dyDescent="0.2">
      <c r="A518">
        <v>517</v>
      </c>
      <c r="B518">
        <v>0</v>
      </c>
      <c r="C518">
        <f t="shared" si="18"/>
        <v>1247</v>
      </c>
      <c r="D518" s="2">
        <f t="shared" si="19"/>
        <v>19.409836065573771</v>
      </c>
    </row>
    <row r="519" spans="1:4" x14ac:dyDescent="0.2">
      <c r="A519">
        <v>518</v>
      </c>
      <c r="B519">
        <v>0</v>
      </c>
      <c r="C519">
        <f t="shared" si="18"/>
        <v>1248</v>
      </c>
      <c r="D519" s="2">
        <f t="shared" si="19"/>
        <v>19.409836065573771</v>
      </c>
    </row>
    <row r="520" spans="1:4" x14ac:dyDescent="0.2">
      <c r="A520">
        <v>519</v>
      </c>
      <c r="B520">
        <v>0</v>
      </c>
      <c r="C520">
        <f t="shared" si="18"/>
        <v>1249</v>
      </c>
      <c r="D520" s="2">
        <f t="shared" si="19"/>
        <v>19.409836065573771</v>
      </c>
    </row>
    <row r="521" spans="1:4" x14ac:dyDescent="0.2">
      <c r="A521">
        <v>520</v>
      </c>
      <c r="B521">
        <v>0</v>
      </c>
      <c r="C521">
        <f t="shared" si="18"/>
        <v>1250</v>
      </c>
      <c r="D521" s="2">
        <f t="shared" si="19"/>
        <v>19.409836065573771</v>
      </c>
    </row>
    <row r="522" spans="1:4" x14ac:dyDescent="0.2">
      <c r="A522">
        <v>521</v>
      </c>
      <c r="B522">
        <v>0</v>
      </c>
      <c r="C522">
        <f t="shared" si="18"/>
        <v>1251</v>
      </c>
      <c r="D522" s="2">
        <f t="shared" si="19"/>
        <v>19.409836065573771</v>
      </c>
    </row>
    <row r="523" spans="1:4" x14ac:dyDescent="0.2">
      <c r="A523">
        <v>522</v>
      </c>
      <c r="B523">
        <v>0</v>
      </c>
      <c r="C523">
        <f t="shared" si="18"/>
        <v>1252</v>
      </c>
      <c r="D523" s="2">
        <f t="shared" si="19"/>
        <v>19.409836065573771</v>
      </c>
    </row>
    <row r="524" spans="1:4" x14ac:dyDescent="0.2">
      <c r="A524">
        <v>523</v>
      </c>
      <c r="B524">
        <v>0</v>
      </c>
      <c r="C524">
        <f t="shared" si="18"/>
        <v>1253</v>
      </c>
      <c r="D524" s="2">
        <f t="shared" si="19"/>
        <v>19.409836065573771</v>
      </c>
    </row>
    <row r="525" spans="1:4" x14ac:dyDescent="0.2">
      <c r="A525">
        <v>524</v>
      </c>
      <c r="B525">
        <v>0</v>
      </c>
      <c r="C525">
        <f t="shared" si="18"/>
        <v>1254</v>
      </c>
      <c r="D525" s="2">
        <f t="shared" si="19"/>
        <v>19.409836065573771</v>
      </c>
    </row>
    <row r="526" spans="1:4" x14ac:dyDescent="0.2">
      <c r="A526">
        <v>525</v>
      </c>
      <c r="B526">
        <v>0</v>
      </c>
      <c r="C526">
        <f t="shared" si="18"/>
        <v>1255</v>
      </c>
      <c r="D526" s="2">
        <f t="shared" si="19"/>
        <v>19.409836065573771</v>
      </c>
    </row>
    <row r="527" spans="1:4" x14ac:dyDescent="0.2">
      <c r="A527">
        <v>526</v>
      </c>
      <c r="B527">
        <v>0</v>
      </c>
      <c r="C527">
        <f t="shared" si="18"/>
        <v>1256</v>
      </c>
      <c r="D527" s="2">
        <f t="shared" si="19"/>
        <v>19.409836065573771</v>
      </c>
    </row>
    <row r="528" spans="1:4" x14ac:dyDescent="0.2">
      <c r="A528">
        <v>527</v>
      </c>
      <c r="B528">
        <v>0</v>
      </c>
      <c r="C528">
        <f t="shared" si="18"/>
        <v>1257</v>
      </c>
      <c r="D528" s="2">
        <f t="shared" si="19"/>
        <v>19.409836065573771</v>
      </c>
    </row>
    <row r="529" spans="1:4" x14ac:dyDescent="0.2">
      <c r="A529">
        <v>528</v>
      </c>
      <c r="B529">
        <v>0</v>
      </c>
      <c r="C529">
        <f t="shared" si="18"/>
        <v>1258</v>
      </c>
      <c r="D529" s="2">
        <f t="shared" si="19"/>
        <v>19.409836065573771</v>
      </c>
    </row>
    <row r="530" spans="1:4" x14ac:dyDescent="0.2">
      <c r="A530">
        <v>529</v>
      </c>
      <c r="B530">
        <v>0</v>
      </c>
      <c r="C530">
        <f t="shared" si="18"/>
        <v>1259</v>
      </c>
      <c r="D530" s="2">
        <f t="shared" si="19"/>
        <v>19.409836065573771</v>
      </c>
    </row>
    <row r="531" spans="1:4" x14ac:dyDescent="0.2">
      <c r="A531">
        <v>530</v>
      </c>
      <c r="B531">
        <v>0</v>
      </c>
      <c r="C531">
        <f t="shared" si="18"/>
        <v>1260</v>
      </c>
      <c r="D531" s="2">
        <f t="shared" si="19"/>
        <v>19.409836065573771</v>
      </c>
    </row>
    <row r="532" spans="1:4" x14ac:dyDescent="0.2">
      <c r="A532">
        <v>531</v>
      </c>
      <c r="B532">
        <v>0</v>
      </c>
      <c r="C532">
        <f t="shared" si="18"/>
        <v>1261</v>
      </c>
      <c r="D532" s="2">
        <f t="shared" si="19"/>
        <v>19.409836065573771</v>
      </c>
    </row>
    <row r="533" spans="1:4" x14ac:dyDescent="0.2">
      <c r="A533">
        <v>532</v>
      </c>
      <c r="B533">
        <v>0</v>
      </c>
      <c r="C533">
        <f t="shared" si="18"/>
        <v>1262</v>
      </c>
      <c r="D533" s="2">
        <f t="shared" si="19"/>
        <v>19.409836065573771</v>
      </c>
    </row>
    <row r="534" spans="1:4" x14ac:dyDescent="0.2">
      <c r="A534">
        <v>533</v>
      </c>
      <c r="B534">
        <v>0</v>
      </c>
      <c r="C534">
        <f t="shared" si="18"/>
        <v>1263</v>
      </c>
      <c r="D534" s="2">
        <f t="shared" si="19"/>
        <v>19.409836065573771</v>
      </c>
    </row>
    <row r="535" spans="1:4" x14ac:dyDescent="0.2">
      <c r="A535">
        <v>534</v>
      </c>
      <c r="B535">
        <v>0</v>
      </c>
      <c r="C535">
        <f t="shared" si="18"/>
        <v>1264</v>
      </c>
      <c r="D535" s="2">
        <f t="shared" si="19"/>
        <v>19.409836065573771</v>
      </c>
    </row>
    <row r="536" spans="1:4" x14ac:dyDescent="0.2">
      <c r="A536">
        <v>535</v>
      </c>
      <c r="B536">
        <v>0</v>
      </c>
      <c r="C536">
        <f t="shared" si="18"/>
        <v>1265</v>
      </c>
      <c r="D536" s="2">
        <f t="shared" si="19"/>
        <v>19.409836065573771</v>
      </c>
    </row>
    <row r="537" spans="1:4" x14ac:dyDescent="0.2">
      <c r="A537">
        <v>536</v>
      </c>
      <c r="B537">
        <v>0</v>
      </c>
      <c r="C537">
        <f t="shared" si="18"/>
        <v>1266</v>
      </c>
      <c r="D537" s="2">
        <f t="shared" si="19"/>
        <v>19.409836065573771</v>
      </c>
    </row>
    <row r="538" spans="1:4" x14ac:dyDescent="0.2">
      <c r="A538">
        <v>537</v>
      </c>
      <c r="B538">
        <v>0</v>
      </c>
      <c r="C538">
        <f t="shared" si="18"/>
        <v>1267</v>
      </c>
      <c r="D538" s="2">
        <f t="shared" si="19"/>
        <v>19.409836065573771</v>
      </c>
    </row>
    <row r="539" spans="1:4" x14ac:dyDescent="0.2">
      <c r="A539">
        <v>538</v>
      </c>
      <c r="B539">
        <v>0</v>
      </c>
      <c r="C539">
        <f t="shared" si="18"/>
        <v>1268</v>
      </c>
      <c r="D539" s="2">
        <f t="shared" si="19"/>
        <v>19.409836065573771</v>
      </c>
    </row>
    <row r="540" spans="1:4" x14ac:dyDescent="0.2">
      <c r="A540">
        <v>539</v>
      </c>
      <c r="B540">
        <v>0</v>
      </c>
      <c r="C540">
        <f t="shared" si="18"/>
        <v>1269</v>
      </c>
      <c r="D540" s="2">
        <f t="shared" si="19"/>
        <v>19.409836065573771</v>
      </c>
    </row>
    <row r="541" spans="1:4" x14ac:dyDescent="0.2">
      <c r="A541">
        <v>540</v>
      </c>
      <c r="B541">
        <v>0</v>
      </c>
      <c r="C541">
        <f t="shared" si="18"/>
        <v>1270</v>
      </c>
      <c r="D541" s="2">
        <f t="shared" si="19"/>
        <v>19.409836065573771</v>
      </c>
    </row>
    <row r="542" spans="1:4" x14ac:dyDescent="0.2">
      <c r="A542">
        <v>541</v>
      </c>
      <c r="B542">
        <v>0</v>
      </c>
      <c r="C542">
        <f t="shared" si="18"/>
        <v>1271</v>
      </c>
      <c r="D542" s="2">
        <f t="shared" si="19"/>
        <v>19.409836065573771</v>
      </c>
    </row>
    <row r="543" spans="1:4" x14ac:dyDescent="0.2">
      <c r="A543">
        <v>542</v>
      </c>
      <c r="B543">
        <v>0</v>
      </c>
      <c r="C543">
        <f t="shared" si="18"/>
        <v>1272</v>
      </c>
      <c r="D543" s="2">
        <f t="shared" si="19"/>
        <v>19.409836065573771</v>
      </c>
    </row>
    <row r="544" spans="1:4" x14ac:dyDescent="0.2">
      <c r="A544">
        <v>543</v>
      </c>
      <c r="B544">
        <v>0</v>
      </c>
      <c r="C544">
        <f t="shared" si="18"/>
        <v>1273</v>
      </c>
      <c r="D544" s="2">
        <f t="shared" si="19"/>
        <v>19.409836065573771</v>
      </c>
    </row>
    <row r="545" spans="1:4" x14ac:dyDescent="0.2">
      <c r="A545">
        <v>544</v>
      </c>
      <c r="B545">
        <v>0</v>
      </c>
      <c r="C545">
        <f t="shared" si="18"/>
        <v>1274</v>
      </c>
      <c r="D545" s="2">
        <f t="shared" si="19"/>
        <v>19.409836065573771</v>
      </c>
    </row>
    <row r="546" spans="1:4" x14ac:dyDescent="0.2">
      <c r="A546">
        <v>545</v>
      </c>
      <c r="B546">
        <v>0</v>
      </c>
      <c r="C546">
        <f t="shared" si="18"/>
        <v>1275</v>
      </c>
      <c r="D546" s="2">
        <f t="shared" si="19"/>
        <v>19.409836065573771</v>
      </c>
    </row>
    <row r="547" spans="1:4" x14ac:dyDescent="0.2">
      <c r="A547">
        <v>546</v>
      </c>
      <c r="B547">
        <v>0</v>
      </c>
      <c r="C547">
        <f t="shared" si="18"/>
        <v>1276</v>
      </c>
      <c r="D547" s="2">
        <f t="shared" si="19"/>
        <v>19.409836065573771</v>
      </c>
    </row>
    <row r="548" spans="1:4" x14ac:dyDescent="0.2">
      <c r="A548">
        <v>547</v>
      </c>
      <c r="B548">
        <v>0</v>
      </c>
      <c r="C548">
        <f t="shared" si="18"/>
        <v>1277</v>
      </c>
      <c r="D548" s="2">
        <f t="shared" si="19"/>
        <v>19.409836065573771</v>
      </c>
    </row>
    <row r="549" spans="1:4" x14ac:dyDescent="0.2">
      <c r="A549">
        <v>548</v>
      </c>
      <c r="B549">
        <v>0</v>
      </c>
      <c r="C549">
        <f t="shared" si="18"/>
        <v>1278</v>
      </c>
      <c r="D549" s="2">
        <f t="shared" si="19"/>
        <v>19.409836065573771</v>
      </c>
    </row>
    <row r="550" spans="1:4" x14ac:dyDescent="0.2">
      <c r="A550">
        <v>549</v>
      </c>
      <c r="B550">
        <v>0</v>
      </c>
      <c r="C550">
        <f t="shared" si="18"/>
        <v>1279</v>
      </c>
      <c r="D550" s="2">
        <f t="shared" si="19"/>
        <v>19.409836065573771</v>
      </c>
    </row>
    <row r="551" spans="1:4" x14ac:dyDescent="0.2">
      <c r="A551">
        <v>550</v>
      </c>
      <c r="B551">
        <v>0</v>
      </c>
      <c r="C551">
        <f t="shared" si="18"/>
        <v>1280</v>
      </c>
      <c r="D551" s="2">
        <f t="shared" si="19"/>
        <v>19.409836065573771</v>
      </c>
    </row>
    <row r="552" spans="1:4" x14ac:dyDescent="0.2">
      <c r="A552">
        <v>551</v>
      </c>
      <c r="B552">
        <v>0</v>
      </c>
      <c r="C552">
        <f t="shared" si="18"/>
        <v>1281</v>
      </c>
      <c r="D552" s="2">
        <f t="shared" si="19"/>
        <v>19.409836065573771</v>
      </c>
    </row>
    <row r="553" spans="1:4" x14ac:dyDescent="0.2">
      <c r="A553">
        <v>552</v>
      </c>
      <c r="B553">
        <v>0</v>
      </c>
      <c r="C553">
        <f t="shared" si="18"/>
        <v>1282</v>
      </c>
      <c r="D553" s="2">
        <f t="shared" si="19"/>
        <v>19.409836065573771</v>
      </c>
    </row>
    <row r="554" spans="1:4" x14ac:dyDescent="0.2">
      <c r="A554">
        <v>553</v>
      </c>
      <c r="B554">
        <v>0</v>
      </c>
      <c r="C554">
        <f t="shared" si="18"/>
        <v>1283</v>
      </c>
      <c r="D554" s="2">
        <f t="shared" si="19"/>
        <v>19.409836065573771</v>
      </c>
    </row>
    <row r="555" spans="1:4" x14ac:dyDescent="0.2">
      <c r="A555">
        <v>554</v>
      </c>
      <c r="B555">
        <v>0</v>
      </c>
      <c r="C555">
        <f t="shared" si="18"/>
        <v>1284</v>
      </c>
      <c r="D555" s="2">
        <f t="shared" si="19"/>
        <v>19.409836065573771</v>
      </c>
    </row>
    <row r="556" spans="1:4" x14ac:dyDescent="0.2">
      <c r="A556">
        <v>555</v>
      </c>
      <c r="B556">
        <v>0</v>
      </c>
      <c r="C556">
        <f t="shared" si="18"/>
        <v>1285</v>
      </c>
      <c r="D556" s="2">
        <f t="shared" si="19"/>
        <v>19.409836065573771</v>
      </c>
    </row>
    <row r="557" spans="1:4" x14ac:dyDescent="0.2">
      <c r="A557">
        <v>556</v>
      </c>
      <c r="B557">
        <v>0</v>
      </c>
      <c r="C557">
        <f t="shared" si="18"/>
        <v>1286</v>
      </c>
      <c r="D557" s="2">
        <f t="shared" si="19"/>
        <v>19.409836065573771</v>
      </c>
    </row>
    <row r="558" spans="1:4" x14ac:dyDescent="0.2">
      <c r="A558">
        <v>557</v>
      </c>
      <c r="B558">
        <v>0</v>
      </c>
      <c r="C558">
        <f t="shared" si="18"/>
        <v>1287</v>
      </c>
      <c r="D558" s="2">
        <f t="shared" si="19"/>
        <v>19.409836065573771</v>
      </c>
    </row>
    <row r="559" spans="1:4" x14ac:dyDescent="0.2">
      <c r="A559">
        <v>558</v>
      </c>
      <c r="B559">
        <v>0</v>
      </c>
      <c r="C559">
        <f t="shared" si="18"/>
        <v>1288</v>
      </c>
      <c r="D559" s="2">
        <f t="shared" si="19"/>
        <v>19.409836065573771</v>
      </c>
    </row>
    <row r="560" spans="1:4" x14ac:dyDescent="0.2">
      <c r="A560">
        <v>559</v>
      </c>
      <c r="B560">
        <v>0</v>
      </c>
      <c r="C560">
        <f t="shared" si="18"/>
        <v>1289</v>
      </c>
      <c r="D560" s="2">
        <f t="shared" si="19"/>
        <v>19.409836065573771</v>
      </c>
    </row>
    <row r="561" spans="1:4" x14ac:dyDescent="0.2">
      <c r="A561">
        <v>560</v>
      </c>
      <c r="B561">
        <v>0</v>
      </c>
      <c r="C561">
        <f t="shared" si="18"/>
        <v>1290</v>
      </c>
      <c r="D561" s="2">
        <f t="shared" si="19"/>
        <v>19.409836065573771</v>
      </c>
    </row>
    <row r="562" spans="1:4" x14ac:dyDescent="0.2">
      <c r="A562">
        <v>561</v>
      </c>
      <c r="B562">
        <v>0</v>
      </c>
      <c r="C562">
        <f t="shared" si="18"/>
        <v>1291</v>
      </c>
      <c r="D562" s="2">
        <f t="shared" si="19"/>
        <v>19.409836065573771</v>
      </c>
    </row>
    <row r="563" spans="1:4" x14ac:dyDescent="0.2">
      <c r="A563">
        <v>562</v>
      </c>
      <c r="B563">
        <v>0</v>
      </c>
      <c r="C563">
        <f t="shared" si="18"/>
        <v>1292</v>
      </c>
      <c r="D563" s="2">
        <f t="shared" si="19"/>
        <v>19.409836065573771</v>
      </c>
    </row>
    <row r="564" spans="1:4" x14ac:dyDescent="0.2">
      <c r="A564">
        <v>563</v>
      </c>
      <c r="B564">
        <v>0</v>
      </c>
      <c r="C564">
        <f t="shared" si="18"/>
        <v>1293</v>
      </c>
      <c r="D564" s="2">
        <f t="shared" si="19"/>
        <v>19.409836065573771</v>
      </c>
    </row>
    <row r="565" spans="1:4" x14ac:dyDescent="0.2">
      <c r="A565">
        <v>564</v>
      </c>
      <c r="B565">
        <v>0</v>
      </c>
      <c r="C565">
        <f t="shared" si="18"/>
        <v>1294</v>
      </c>
      <c r="D565" s="2">
        <f t="shared" si="19"/>
        <v>19.409836065573771</v>
      </c>
    </row>
    <row r="566" spans="1:4" x14ac:dyDescent="0.2">
      <c r="A566">
        <v>565</v>
      </c>
      <c r="B566">
        <v>0</v>
      </c>
      <c r="C566">
        <f t="shared" si="18"/>
        <v>1295</v>
      </c>
      <c r="D566" s="2">
        <f t="shared" si="19"/>
        <v>19.409836065573771</v>
      </c>
    </row>
    <row r="567" spans="1:4" x14ac:dyDescent="0.2">
      <c r="A567">
        <v>566</v>
      </c>
      <c r="B567">
        <v>0</v>
      </c>
      <c r="C567">
        <f t="shared" si="18"/>
        <v>1296</v>
      </c>
      <c r="D567" s="2">
        <f t="shared" si="19"/>
        <v>19.409836065573771</v>
      </c>
    </row>
    <row r="568" spans="1:4" x14ac:dyDescent="0.2">
      <c r="A568">
        <v>567</v>
      </c>
      <c r="B568">
        <v>0</v>
      </c>
      <c r="C568">
        <f t="shared" si="18"/>
        <v>1297</v>
      </c>
      <c r="D568" s="2">
        <f t="shared" si="19"/>
        <v>19.409836065573771</v>
      </c>
    </row>
    <row r="569" spans="1:4" x14ac:dyDescent="0.2">
      <c r="A569">
        <v>568</v>
      </c>
      <c r="B569">
        <v>0</v>
      </c>
      <c r="C569">
        <f t="shared" si="18"/>
        <v>1298</v>
      </c>
      <c r="D569" s="2">
        <f t="shared" si="19"/>
        <v>19.409836065573771</v>
      </c>
    </row>
    <row r="570" spans="1:4" x14ac:dyDescent="0.2">
      <c r="A570">
        <v>569</v>
      </c>
      <c r="B570">
        <v>0</v>
      </c>
      <c r="C570">
        <f t="shared" si="18"/>
        <v>1299</v>
      </c>
      <c r="D570" s="2">
        <f t="shared" si="19"/>
        <v>19.409836065573771</v>
      </c>
    </row>
    <row r="571" spans="1:4" x14ac:dyDescent="0.2">
      <c r="A571">
        <v>570</v>
      </c>
      <c r="B571">
        <v>0</v>
      </c>
      <c r="C571">
        <f t="shared" si="18"/>
        <v>1300</v>
      </c>
      <c r="D571" s="2">
        <f t="shared" si="19"/>
        <v>19.409836065573771</v>
      </c>
    </row>
    <row r="572" spans="1:4" x14ac:dyDescent="0.2">
      <c r="A572">
        <v>571</v>
      </c>
      <c r="B572">
        <v>0</v>
      </c>
      <c r="C572">
        <f t="shared" si="18"/>
        <v>1301</v>
      </c>
      <c r="D572" s="2">
        <f t="shared" si="19"/>
        <v>19.409836065573771</v>
      </c>
    </row>
    <row r="573" spans="1:4" x14ac:dyDescent="0.2">
      <c r="A573">
        <v>572</v>
      </c>
      <c r="B573">
        <v>0</v>
      </c>
      <c r="C573">
        <f t="shared" si="18"/>
        <v>1302</v>
      </c>
      <c r="D573" s="2">
        <f t="shared" si="19"/>
        <v>19.409836065573771</v>
      </c>
    </row>
    <row r="574" spans="1:4" x14ac:dyDescent="0.2">
      <c r="A574">
        <v>573</v>
      </c>
      <c r="B574">
        <v>0</v>
      </c>
      <c r="C574">
        <f t="shared" si="18"/>
        <v>1303</v>
      </c>
      <c r="D574" s="2">
        <f t="shared" si="19"/>
        <v>19.409836065573771</v>
      </c>
    </row>
    <row r="575" spans="1:4" x14ac:dyDescent="0.2">
      <c r="A575">
        <v>574</v>
      </c>
      <c r="B575">
        <v>0</v>
      </c>
      <c r="C575">
        <f t="shared" si="18"/>
        <v>1304</v>
      </c>
      <c r="D575" s="2">
        <f t="shared" si="19"/>
        <v>19.409836065573771</v>
      </c>
    </row>
    <row r="576" spans="1:4" x14ac:dyDescent="0.2">
      <c r="A576">
        <v>575</v>
      </c>
      <c r="B576">
        <v>0</v>
      </c>
      <c r="C576">
        <f t="shared" si="18"/>
        <v>1305</v>
      </c>
      <c r="D576" s="2">
        <f t="shared" si="19"/>
        <v>19.409836065573771</v>
      </c>
    </row>
    <row r="577" spans="1:4" x14ac:dyDescent="0.2">
      <c r="A577">
        <v>576</v>
      </c>
      <c r="B577">
        <v>0</v>
      </c>
      <c r="C577">
        <f t="shared" si="18"/>
        <v>1306</v>
      </c>
      <c r="D577" s="2">
        <f t="shared" si="19"/>
        <v>19.409836065573771</v>
      </c>
    </row>
    <row r="578" spans="1:4" x14ac:dyDescent="0.2">
      <c r="A578">
        <v>577</v>
      </c>
      <c r="B578">
        <v>0</v>
      </c>
      <c r="C578">
        <f t="shared" si="18"/>
        <v>1307</v>
      </c>
      <c r="D578" s="2">
        <f t="shared" si="19"/>
        <v>19.409836065573771</v>
      </c>
    </row>
    <row r="579" spans="1:4" x14ac:dyDescent="0.2">
      <c r="A579">
        <v>578</v>
      </c>
      <c r="B579">
        <v>0</v>
      </c>
      <c r="C579">
        <f t="shared" ref="C579:C642" si="20">A579+730</f>
        <v>1308</v>
      </c>
      <c r="D579" s="2">
        <f t="shared" si="19"/>
        <v>19.409836065573771</v>
      </c>
    </row>
    <row r="580" spans="1:4" x14ac:dyDescent="0.2">
      <c r="A580">
        <v>579</v>
      </c>
      <c r="B580">
        <v>0</v>
      </c>
      <c r="C580">
        <f t="shared" si="20"/>
        <v>1309</v>
      </c>
      <c r="D580" s="2">
        <f t="shared" ref="D580:D643" si="21">$D$2</f>
        <v>19.409836065573771</v>
      </c>
    </row>
    <row r="581" spans="1:4" x14ac:dyDescent="0.2">
      <c r="A581">
        <v>580</v>
      </c>
      <c r="B581">
        <v>0</v>
      </c>
      <c r="C581">
        <f t="shared" si="20"/>
        <v>1310</v>
      </c>
      <c r="D581" s="2">
        <f t="shared" si="21"/>
        <v>19.409836065573771</v>
      </c>
    </row>
    <row r="582" spans="1:4" x14ac:dyDescent="0.2">
      <c r="A582">
        <v>581</v>
      </c>
      <c r="B582">
        <v>0</v>
      </c>
      <c r="C582">
        <f t="shared" si="20"/>
        <v>1311</v>
      </c>
      <c r="D582" s="2">
        <f t="shared" si="21"/>
        <v>19.409836065573771</v>
      </c>
    </row>
    <row r="583" spans="1:4" x14ac:dyDescent="0.2">
      <c r="A583">
        <v>582</v>
      </c>
      <c r="B583">
        <v>0</v>
      </c>
      <c r="C583">
        <f t="shared" si="20"/>
        <v>1312</v>
      </c>
      <c r="D583" s="2">
        <f t="shared" si="21"/>
        <v>19.409836065573771</v>
      </c>
    </row>
    <row r="584" spans="1:4" x14ac:dyDescent="0.2">
      <c r="A584">
        <v>583</v>
      </c>
      <c r="B584">
        <v>0</v>
      </c>
      <c r="C584">
        <f t="shared" si="20"/>
        <v>1313</v>
      </c>
      <c r="D584" s="2">
        <f t="shared" si="21"/>
        <v>19.409836065573771</v>
      </c>
    </row>
    <row r="585" spans="1:4" x14ac:dyDescent="0.2">
      <c r="A585">
        <v>584</v>
      </c>
      <c r="B585">
        <v>0</v>
      </c>
      <c r="C585">
        <f t="shared" si="20"/>
        <v>1314</v>
      </c>
      <c r="D585" s="2">
        <f t="shared" si="21"/>
        <v>19.409836065573771</v>
      </c>
    </row>
    <row r="586" spans="1:4" x14ac:dyDescent="0.2">
      <c r="A586">
        <v>585</v>
      </c>
      <c r="B586">
        <v>0</v>
      </c>
      <c r="C586">
        <f t="shared" si="20"/>
        <v>1315</v>
      </c>
      <c r="D586" s="2">
        <f t="shared" si="21"/>
        <v>19.409836065573771</v>
      </c>
    </row>
    <row r="587" spans="1:4" x14ac:dyDescent="0.2">
      <c r="A587">
        <v>586</v>
      </c>
      <c r="B587">
        <v>0</v>
      </c>
      <c r="C587">
        <f t="shared" si="20"/>
        <v>1316</v>
      </c>
      <c r="D587" s="2">
        <f t="shared" si="21"/>
        <v>19.409836065573771</v>
      </c>
    </row>
    <row r="588" spans="1:4" x14ac:dyDescent="0.2">
      <c r="A588">
        <v>587</v>
      </c>
      <c r="B588">
        <v>0</v>
      </c>
      <c r="C588">
        <f t="shared" si="20"/>
        <v>1317</v>
      </c>
      <c r="D588" s="2">
        <f t="shared" si="21"/>
        <v>19.409836065573771</v>
      </c>
    </row>
    <row r="589" spans="1:4" x14ac:dyDescent="0.2">
      <c r="A589">
        <v>588</v>
      </c>
      <c r="B589">
        <v>0</v>
      </c>
      <c r="C589">
        <f t="shared" si="20"/>
        <v>1318</v>
      </c>
      <c r="D589" s="2">
        <f t="shared" si="21"/>
        <v>19.409836065573771</v>
      </c>
    </row>
    <row r="590" spans="1:4" x14ac:dyDescent="0.2">
      <c r="A590">
        <v>589</v>
      </c>
      <c r="B590">
        <v>0</v>
      </c>
      <c r="C590">
        <f t="shared" si="20"/>
        <v>1319</v>
      </c>
      <c r="D590" s="2">
        <f t="shared" si="21"/>
        <v>19.409836065573771</v>
      </c>
    </row>
    <row r="591" spans="1:4" x14ac:dyDescent="0.2">
      <c r="A591">
        <v>590</v>
      </c>
      <c r="B591">
        <v>0</v>
      </c>
      <c r="C591">
        <f t="shared" si="20"/>
        <v>1320</v>
      </c>
      <c r="D591" s="2">
        <f t="shared" si="21"/>
        <v>19.409836065573771</v>
      </c>
    </row>
    <row r="592" spans="1:4" x14ac:dyDescent="0.2">
      <c r="A592">
        <v>591</v>
      </c>
      <c r="B592">
        <v>0</v>
      </c>
      <c r="C592">
        <f t="shared" si="20"/>
        <v>1321</v>
      </c>
      <c r="D592" s="2">
        <f t="shared" si="21"/>
        <v>19.409836065573771</v>
      </c>
    </row>
    <row r="593" spans="1:4" x14ac:dyDescent="0.2">
      <c r="A593">
        <v>592</v>
      </c>
      <c r="B593">
        <v>0</v>
      </c>
      <c r="C593">
        <f t="shared" si="20"/>
        <v>1322</v>
      </c>
      <c r="D593" s="2">
        <f t="shared" si="21"/>
        <v>19.409836065573771</v>
      </c>
    </row>
    <row r="594" spans="1:4" x14ac:dyDescent="0.2">
      <c r="A594">
        <v>593</v>
      </c>
      <c r="B594">
        <v>0</v>
      </c>
      <c r="C594">
        <f t="shared" si="20"/>
        <v>1323</v>
      </c>
      <c r="D594" s="2">
        <f t="shared" si="21"/>
        <v>19.409836065573771</v>
      </c>
    </row>
    <row r="595" spans="1:4" x14ac:dyDescent="0.2">
      <c r="A595">
        <v>594</v>
      </c>
      <c r="B595">
        <v>0</v>
      </c>
      <c r="C595">
        <f t="shared" si="20"/>
        <v>1324</v>
      </c>
      <c r="D595" s="2">
        <f t="shared" si="21"/>
        <v>19.409836065573771</v>
      </c>
    </row>
    <row r="596" spans="1:4" x14ac:dyDescent="0.2">
      <c r="A596">
        <v>595</v>
      </c>
      <c r="B596">
        <v>0</v>
      </c>
      <c r="C596">
        <f t="shared" si="20"/>
        <v>1325</v>
      </c>
      <c r="D596" s="2">
        <f t="shared" si="21"/>
        <v>19.409836065573771</v>
      </c>
    </row>
    <row r="597" spans="1:4" x14ac:dyDescent="0.2">
      <c r="A597">
        <v>596</v>
      </c>
      <c r="B597">
        <v>0</v>
      </c>
      <c r="C597">
        <f t="shared" si="20"/>
        <v>1326</v>
      </c>
      <c r="D597" s="2">
        <f t="shared" si="21"/>
        <v>19.409836065573771</v>
      </c>
    </row>
    <row r="598" spans="1:4" x14ac:dyDescent="0.2">
      <c r="A598">
        <v>597</v>
      </c>
      <c r="B598">
        <v>0</v>
      </c>
      <c r="C598">
        <f t="shared" si="20"/>
        <v>1327</v>
      </c>
      <c r="D598" s="2">
        <f t="shared" si="21"/>
        <v>19.409836065573771</v>
      </c>
    </row>
    <row r="599" spans="1:4" x14ac:dyDescent="0.2">
      <c r="A599">
        <v>598</v>
      </c>
      <c r="B599">
        <v>0</v>
      </c>
      <c r="C599">
        <f t="shared" si="20"/>
        <v>1328</v>
      </c>
      <c r="D599" s="2">
        <f t="shared" si="21"/>
        <v>19.409836065573771</v>
      </c>
    </row>
    <row r="600" spans="1:4" x14ac:dyDescent="0.2">
      <c r="A600">
        <v>599</v>
      </c>
      <c r="B600">
        <v>0</v>
      </c>
      <c r="C600">
        <f t="shared" si="20"/>
        <v>1329</v>
      </c>
      <c r="D600" s="2">
        <f t="shared" si="21"/>
        <v>19.409836065573771</v>
      </c>
    </row>
    <row r="601" spans="1:4" x14ac:dyDescent="0.2">
      <c r="A601">
        <v>600</v>
      </c>
      <c r="B601">
        <v>0</v>
      </c>
      <c r="C601">
        <f t="shared" si="20"/>
        <v>1330</v>
      </c>
      <c r="D601" s="2">
        <f t="shared" si="21"/>
        <v>19.409836065573771</v>
      </c>
    </row>
    <row r="602" spans="1:4" x14ac:dyDescent="0.2">
      <c r="A602">
        <v>601</v>
      </c>
      <c r="B602">
        <v>0</v>
      </c>
      <c r="C602">
        <f t="shared" si="20"/>
        <v>1331</v>
      </c>
      <c r="D602" s="2">
        <f t="shared" si="21"/>
        <v>19.409836065573771</v>
      </c>
    </row>
    <row r="603" spans="1:4" x14ac:dyDescent="0.2">
      <c r="A603">
        <v>602</v>
      </c>
      <c r="B603">
        <v>0</v>
      </c>
      <c r="C603">
        <f t="shared" si="20"/>
        <v>1332</v>
      </c>
      <c r="D603" s="2">
        <f t="shared" si="21"/>
        <v>19.409836065573771</v>
      </c>
    </row>
    <row r="604" spans="1:4" x14ac:dyDescent="0.2">
      <c r="A604">
        <v>603</v>
      </c>
      <c r="B604">
        <v>0</v>
      </c>
      <c r="C604">
        <f t="shared" si="20"/>
        <v>1333</v>
      </c>
      <c r="D604" s="2">
        <f t="shared" si="21"/>
        <v>19.409836065573771</v>
      </c>
    </row>
    <row r="605" spans="1:4" x14ac:dyDescent="0.2">
      <c r="A605">
        <v>604</v>
      </c>
      <c r="B605">
        <v>0</v>
      </c>
      <c r="C605">
        <f t="shared" si="20"/>
        <v>1334</v>
      </c>
      <c r="D605" s="2">
        <f t="shared" si="21"/>
        <v>19.409836065573771</v>
      </c>
    </row>
    <row r="606" spans="1:4" x14ac:dyDescent="0.2">
      <c r="A606">
        <v>605</v>
      </c>
      <c r="B606">
        <v>0</v>
      </c>
      <c r="C606">
        <f t="shared" si="20"/>
        <v>1335</v>
      </c>
      <c r="D606" s="2">
        <f t="shared" si="21"/>
        <v>19.409836065573771</v>
      </c>
    </row>
    <row r="607" spans="1:4" x14ac:dyDescent="0.2">
      <c r="A607">
        <v>606</v>
      </c>
      <c r="B607">
        <v>0</v>
      </c>
      <c r="C607">
        <f t="shared" si="20"/>
        <v>1336</v>
      </c>
      <c r="D607" s="2">
        <f t="shared" si="21"/>
        <v>19.409836065573771</v>
      </c>
    </row>
    <row r="608" spans="1:4" x14ac:dyDescent="0.2">
      <c r="A608">
        <v>607</v>
      </c>
      <c r="B608">
        <v>0</v>
      </c>
      <c r="C608">
        <f t="shared" si="20"/>
        <v>1337</v>
      </c>
      <c r="D608" s="2">
        <f t="shared" si="21"/>
        <v>19.409836065573771</v>
      </c>
    </row>
    <row r="609" spans="1:4" x14ac:dyDescent="0.2">
      <c r="A609">
        <v>608</v>
      </c>
      <c r="B609">
        <v>0</v>
      </c>
      <c r="C609">
        <f t="shared" si="20"/>
        <v>1338</v>
      </c>
      <c r="D609" s="2">
        <f t="shared" si="21"/>
        <v>19.409836065573771</v>
      </c>
    </row>
    <row r="610" spans="1:4" x14ac:dyDescent="0.2">
      <c r="A610">
        <v>609</v>
      </c>
      <c r="B610">
        <v>0</v>
      </c>
      <c r="C610">
        <f t="shared" si="20"/>
        <v>1339</v>
      </c>
      <c r="D610" s="2">
        <f t="shared" si="21"/>
        <v>19.409836065573771</v>
      </c>
    </row>
    <row r="611" spans="1:4" x14ac:dyDescent="0.2">
      <c r="A611">
        <v>610</v>
      </c>
      <c r="B611">
        <v>0</v>
      </c>
      <c r="C611">
        <f t="shared" si="20"/>
        <v>1340</v>
      </c>
      <c r="D611" s="2">
        <f t="shared" si="21"/>
        <v>19.409836065573771</v>
      </c>
    </row>
    <row r="612" spans="1:4" x14ac:dyDescent="0.2">
      <c r="A612">
        <v>611</v>
      </c>
      <c r="B612">
        <v>0</v>
      </c>
      <c r="C612">
        <f t="shared" si="20"/>
        <v>1341</v>
      </c>
      <c r="D612" s="2">
        <f t="shared" si="21"/>
        <v>19.409836065573771</v>
      </c>
    </row>
    <row r="613" spans="1:4" x14ac:dyDescent="0.2">
      <c r="A613">
        <v>612</v>
      </c>
      <c r="B613">
        <v>0</v>
      </c>
      <c r="C613">
        <f t="shared" si="20"/>
        <v>1342</v>
      </c>
      <c r="D613" s="2">
        <f t="shared" si="21"/>
        <v>19.409836065573771</v>
      </c>
    </row>
    <row r="614" spans="1:4" x14ac:dyDescent="0.2">
      <c r="A614">
        <v>613</v>
      </c>
      <c r="B614">
        <v>0</v>
      </c>
      <c r="C614">
        <f t="shared" si="20"/>
        <v>1343</v>
      </c>
      <c r="D614" s="2">
        <f t="shared" si="21"/>
        <v>19.409836065573771</v>
      </c>
    </row>
    <row r="615" spans="1:4" x14ac:dyDescent="0.2">
      <c r="A615">
        <v>614</v>
      </c>
      <c r="B615">
        <v>0</v>
      </c>
      <c r="C615">
        <f t="shared" si="20"/>
        <v>1344</v>
      </c>
      <c r="D615" s="2">
        <f t="shared" si="21"/>
        <v>19.409836065573771</v>
      </c>
    </row>
    <row r="616" spans="1:4" x14ac:dyDescent="0.2">
      <c r="A616">
        <v>615</v>
      </c>
      <c r="B616">
        <v>0</v>
      </c>
      <c r="C616">
        <f t="shared" si="20"/>
        <v>1345</v>
      </c>
      <c r="D616" s="2">
        <f t="shared" si="21"/>
        <v>19.409836065573771</v>
      </c>
    </row>
    <row r="617" spans="1:4" x14ac:dyDescent="0.2">
      <c r="A617">
        <v>616</v>
      </c>
      <c r="B617">
        <v>0</v>
      </c>
      <c r="C617">
        <f t="shared" si="20"/>
        <v>1346</v>
      </c>
      <c r="D617" s="2">
        <f t="shared" si="21"/>
        <v>19.409836065573771</v>
      </c>
    </row>
    <row r="618" spans="1:4" x14ac:dyDescent="0.2">
      <c r="A618">
        <v>617</v>
      </c>
      <c r="B618">
        <v>0</v>
      </c>
      <c r="C618">
        <f t="shared" si="20"/>
        <v>1347</v>
      </c>
      <c r="D618" s="2">
        <f t="shared" si="21"/>
        <v>19.409836065573771</v>
      </c>
    </row>
    <row r="619" spans="1:4" x14ac:dyDescent="0.2">
      <c r="A619">
        <v>618</v>
      </c>
      <c r="B619">
        <v>0</v>
      </c>
      <c r="C619">
        <f t="shared" si="20"/>
        <v>1348</v>
      </c>
      <c r="D619" s="2">
        <f t="shared" si="21"/>
        <v>19.409836065573771</v>
      </c>
    </row>
    <row r="620" spans="1:4" x14ac:dyDescent="0.2">
      <c r="A620">
        <v>619</v>
      </c>
      <c r="B620">
        <v>0</v>
      </c>
      <c r="C620">
        <f t="shared" si="20"/>
        <v>1349</v>
      </c>
      <c r="D620" s="2">
        <f t="shared" si="21"/>
        <v>19.409836065573771</v>
      </c>
    </row>
    <row r="621" spans="1:4" x14ac:dyDescent="0.2">
      <c r="A621">
        <v>620</v>
      </c>
      <c r="B621">
        <v>0</v>
      </c>
      <c r="C621">
        <f t="shared" si="20"/>
        <v>1350</v>
      </c>
      <c r="D621" s="2">
        <f t="shared" si="21"/>
        <v>19.409836065573771</v>
      </c>
    </row>
    <row r="622" spans="1:4" x14ac:dyDescent="0.2">
      <c r="A622">
        <v>621</v>
      </c>
      <c r="B622">
        <v>0</v>
      </c>
      <c r="C622">
        <f t="shared" si="20"/>
        <v>1351</v>
      </c>
      <c r="D622" s="2">
        <f t="shared" si="21"/>
        <v>19.409836065573771</v>
      </c>
    </row>
    <row r="623" spans="1:4" x14ac:dyDescent="0.2">
      <c r="A623">
        <v>622</v>
      </c>
      <c r="B623">
        <v>0</v>
      </c>
      <c r="C623">
        <f t="shared" si="20"/>
        <v>1352</v>
      </c>
      <c r="D623" s="2">
        <f t="shared" si="21"/>
        <v>19.409836065573771</v>
      </c>
    </row>
    <row r="624" spans="1:4" x14ac:dyDescent="0.2">
      <c r="A624">
        <v>623</v>
      </c>
      <c r="B624">
        <v>0</v>
      </c>
      <c r="C624">
        <f t="shared" si="20"/>
        <v>1353</v>
      </c>
      <c r="D624" s="2">
        <f t="shared" si="21"/>
        <v>19.409836065573771</v>
      </c>
    </row>
    <row r="625" spans="1:4" x14ac:dyDescent="0.2">
      <c r="A625">
        <v>624</v>
      </c>
      <c r="B625">
        <v>0</v>
      </c>
      <c r="C625">
        <f t="shared" si="20"/>
        <v>1354</v>
      </c>
      <c r="D625" s="2">
        <f t="shared" si="21"/>
        <v>19.409836065573771</v>
      </c>
    </row>
    <row r="626" spans="1:4" x14ac:dyDescent="0.2">
      <c r="A626">
        <v>625</v>
      </c>
      <c r="B626">
        <v>0</v>
      </c>
      <c r="C626">
        <f t="shared" si="20"/>
        <v>1355</v>
      </c>
      <c r="D626" s="2">
        <f t="shared" si="21"/>
        <v>19.409836065573771</v>
      </c>
    </row>
    <row r="627" spans="1:4" x14ac:dyDescent="0.2">
      <c r="A627">
        <v>626</v>
      </c>
      <c r="B627">
        <v>0</v>
      </c>
      <c r="C627">
        <f t="shared" si="20"/>
        <v>1356</v>
      </c>
      <c r="D627" s="2">
        <f t="shared" si="21"/>
        <v>19.409836065573771</v>
      </c>
    </row>
    <row r="628" spans="1:4" x14ac:dyDescent="0.2">
      <c r="A628">
        <v>627</v>
      </c>
      <c r="B628">
        <v>0</v>
      </c>
      <c r="C628">
        <f t="shared" si="20"/>
        <v>1357</v>
      </c>
      <c r="D628" s="2">
        <f t="shared" si="21"/>
        <v>19.409836065573771</v>
      </c>
    </row>
    <row r="629" spans="1:4" x14ac:dyDescent="0.2">
      <c r="A629">
        <v>628</v>
      </c>
      <c r="B629">
        <v>0</v>
      </c>
      <c r="C629">
        <f t="shared" si="20"/>
        <v>1358</v>
      </c>
      <c r="D629" s="2">
        <f t="shared" si="21"/>
        <v>19.409836065573771</v>
      </c>
    </row>
    <row r="630" spans="1:4" x14ac:dyDescent="0.2">
      <c r="A630">
        <v>629</v>
      </c>
      <c r="B630">
        <v>0</v>
      </c>
      <c r="C630">
        <f t="shared" si="20"/>
        <v>1359</v>
      </c>
      <c r="D630" s="2">
        <f t="shared" si="21"/>
        <v>19.409836065573771</v>
      </c>
    </row>
    <row r="631" spans="1:4" x14ac:dyDescent="0.2">
      <c r="A631">
        <v>630</v>
      </c>
      <c r="B631">
        <v>0</v>
      </c>
      <c r="C631">
        <f t="shared" si="20"/>
        <v>1360</v>
      </c>
      <c r="D631" s="2">
        <f t="shared" si="21"/>
        <v>19.409836065573771</v>
      </c>
    </row>
    <row r="632" spans="1:4" x14ac:dyDescent="0.2">
      <c r="A632">
        <v>631</v>
      </c>
      <c r="B632">
        <v>0</v>
      </c>
      <c r="C632">
        <f t="shared" si="20"/>
        <v>1361</v>
      </c>
      <c r="D632" s="2">
        <f t="shared" si="21"/>
        <v>19.409836065573771</v>
      </c>
    </row>
    <row r="633" spans="1:4" x14ac:dyDescent="0.2">
      <c r="A633">
        <v>632</v>
      </c>
      <c r="B633">
        <v>0</v>
      </c>
      <c r="C633">
        <f t="shared" si="20"/>
        <v>1362</v>
      </c>
      <c r="D633" s="2">
        <f t="shared" si="21"/>
        <v>19.409836065573771</v>
      </c>
    </row>
    <row r="634" spans="1:4" x14ac:dyDescent="0.2">
      <c r="A634">
        <v>633</v>
      </c>
      <c r="B634">
        <v>0</v>
      </c>
      <c r="C634">
        <f t="shared" si="20"/>
        <v>1363</v>
      </c>
      <c r="D634" s="2">
        <f t="shared" si="21"/>
        <v>19.409836065573771</v>
      </c>
    </row>
    <row r="635" spans="1:4" x14ac:dyDescent="0.2">
      <c r="A635">
        <v>634</v>
      </c>
      <c r="B635">
        <v>0</v>
      </c>
      <c r="C635">
        <f t="shared" si="20"/>
        <v>1364</v>
      </c>
      <c r="D635" s="2">
        <f t="shared" si="21"/>
        <v>19.409836065573771</v>
      </c>
    </row>
    <row r="636" spans="1:4" x14ac:dyDescent="0.2">
      <c r="A636">
        <v>635</v>
      </c>
      <c r="B636">
        <v>0</v>
      </c>
      <c r="C636">
        <f t="shared" si="20"/>
        <v>1365</v>
      </c>
      <c r="D636" s="2">
        <f t="shared" si="21"/>
        <v>19.409836065573771</v>
      </c>
    </row>
    <row r="637" spans="1:4" x14ac:dyDescent="0.2">
      <c r="A637">
        <v>636</v>
      </c>
      <c r="B637">
        <v>0</v>
      </c>
      <c r="C637">
        <f t="shared" si="20"/>
        <v>1366</v>
      </c>
      <c r="D637" s="2">
        <f t="shared" si="21"/>
        <v>19.409836065573771</v>
      </c>
    </row>
    <row r="638" spans="1:4" x14ac:dyDescent="0.2">
      <c r="A638">
        <v>637</v>
      </c>
      <c r="B638">
        <v>0</v>
      </c>
      <c r="C638">
        <f t="shared" si="20"/>
        <v>1367</v>
      </c>
      <c r="D638" s="2">
        <f t="shared" si="21"/>
        <v>19.409836065573771</v>
      </c>
    </row>
    <row r="639" spans="1:4" x14ac:dyDescent="0.2">
      <c r="A639">
        <v>638</v>
      </c>
      <c r="B639">
        <v>0</v>
      </c>
      <c r="C639">
        <f t="shared" si="20"/>
        <v>1368</v>
      </c>
      <c r="D639" s="2">
        <f t="shared" si="21"/>
        <v>19.409836065573771</v>
      </c>
    </row>
    <row r="640" spans="1:4" x14ac:dyDescent="0.2">
      <c r="A640">
        <v>639</v>
      </c>
      <c r="B640">
        <v>0</v>
      </c>
      <c r="C640">
        <f t="shared" si="20"/>
        <v>1369</v>
      </c>
      <c r="D640" s="2">
        <f t="shared" si="21"/>
        <v>19.409836065573771</v>
      </c>
    </row>
    <row r="641" spans="1:4" x14ac:dyDescent="0.2">
      <c r="A641">
        <v>640</v>
      </c>
      <c r="B641">
        <v>5</v>
      </c>
      <c r="C641">
        <f t="shared" si="20"/>
        <v>1370</v>
      </c>
      <c r="D641" s="2">
        <f t="shared" si="21"/>
        <v>19.409836065573771</v>
      </c>
    </row>
    <row r="642" spans="1:4" x14ac:dyDescent="0.2">
      <c r="A642">
        <v>641</v>
      </c>
      <c r="B642">
        <v>0</v>
      </c>
      <c r="C642">
        <f t="shared" si="20"/>
        <v>1371</v>
      </c>
      <c r="D642" s="2">
        <f t="shared" si="21"/>
        <v>19.409836065573771</v>
      </c>
    </row>
    <row r="643" spans="1:4" x14ac:dyDescent="0.2">
      <c r="A643">
        <v>642</v>
      </c>
      <c r="B643">
        <v>0</v>
      </c>
      <c r="C643">
        <f t="shared" ref="C643:C706" si="22">A643+730</f>
        <v>1372</v>
      </c>
      <c r="D643" s="2">
        <f t="shared" si="21"/>
        <v>19.409836065573771</v>
      </c>
    </row>
    <row r="644" spans="1:4" x14ac:dyDescent="0.2">
      <c r="A644">
        <v>643</v>
      </c>
      <c r="B644">
        <v>0</v>
      </c>
      <c r="C644">
        <f t="shared" si="22"/>
        <v>1373</v>
      </c>
      <c r="D644" s="2">
        <f t="shared" ref="D644:D707" si="23">$D$2</f>
        <v>19.409836065573771</v>
      </c>
    </row>
    <row r="645" spans="1:4" x14ac:dyDescent="0.2">
      <c r="A645">
        <v>644</v>
      </c>
      <c r="B645">
        <v>0</v>
      </c>
      <c r="C645">
        <f t="shared" si="22"/>
        <v>1374</v>
      </c>
      <c r="D645" s="2">
        <f t="shared" si="23"/>
        <v>19.409836065573771</v>
      </c>
    </row>
    <row r="646" spans="1:4" x14ac:dyDescent="0.2">
      <c r="A646">
        <v>645</v>
      </c>
      <c r="B646">
        <v>3</v>
      </c>
      <c r="C646">
        <f t="shared" si="22"/>
        <v>1375</v>
      </c>
      <c r="D646" s="2">
        <f t="shared" si="23"/>
        <v>19.409836065573771</v>
      </c>
    </row>
    <row r="647" spans="1:4" x14ac:dyDescent="0.2">
      <c r="A647">
        <v>646</v>
      </c>
      <c r="B647">
        <v>0</v>
      </c>
      <c r="C647">
        <f t="shared" si="22"/>
        <v>1376</v>
      </c>
      <c r="D647" s="2">
        <f t="shared" si="23"/>
        <v>19.409836065573771</v>
      </c>
    </row>
    <row r="648" spans="1:4" x14ac:dyDescent="0.2">
      <c r="A648">
        <v>647</v>
      </c>
      <c r="B648">
        <v>0</v>
      </c>
      <c r="C648">
        <f t="shared" si="22"/>
        <v>1377</v>
      </c>
      <c r="D648" s="2">
        <f t="shared" si="23"/>
        <v>19.409836065573771</v>
      </c>
    </row>
    <row r="649" spans="1:4" x14ac:dyDescent="0.2">
      <c r="A649">
        <v>648</v>
      </c>
      <c r="B649">
        <v>3</v>
      </c>
      <c r="C649">
        <f t="shared" si="22"/>
        <v>1378</v>
      </c>
      <c r="D649" s="2">
        <f t="shared" si="23"/>
        <v>19.409836065573771</v>
      </c>
    </row>
    <row r="650" spans="1:4" x14ac:dyDescent="0.2">
      <c r="A650">
        <v>649</v>
      </c>
      <c r="B650">
        <v>0</v>
      </c>
      <c r="C650">
        <f t="shared" si="22"/>
        <v>1379</v>
      </c>
      <c r="D650" s="2">
        <f t="shared" si="23"/>
        <v>19.409836065573771</v>
      </c>
    </row>
    <row r="651" spans="1:4" x14ac:dyDescent="0.2">
      <c r="A651">
        <v>650</v>
      </c>
      <c r="B651">
        <v>9</v>
      </c>
      <c r="C651">
        <f t="shared" si="22"/>
        <v>1380</v>
      </c>
      <c r="D651" s="2">
        <f t="shared" si="23"/>
        <v>19.409836065573771</v>
      </c>
    </row>
    <row r="652" spans="1:4" x14ac:dyDescent="0.2">
      <c r="A652">
        <v>651</v>
      </c>
      <c r="B652">
        <v>0</v>
      </c>
      <c r="C652">
        <f t="shared" si="22"/>
        <v>1381</v>
      </c>
      <c r="D652" s="2">
        <f t="shared" si="23"/>
        <v>19.409836065573771</v>
      </c>
    </row>
    <row r="653" spans="1:4" x14ac:dyDescent="0.2">
      <c r="A653">
        <v>652</v>
      </c>
      <c r="B653">
        <v>3</v>
      </c>
      <c r="C653">
        <f t="shared" si="22"/>
        <v>1382</v>
      </c>
      <c r="D653" s="2">
        <f t="shared" si="23"/>
        <v>19.409836065573771</v>
      </c>
    </row>
    <row r="654" spans="1:4" x14ac:dyDescent="0.2">
      <c r="A654">
        <v>653</v>
      </c>
      <c r="B654">
        <v>12</v>
      </c>
      <c r="C654">
        <f t="shared" si="22"/>
        <v>1383</v>
      </c>
      <c r="D654" s="2">
        <f t="shared" si="23"/>
        <v>19.409836065573771</v>
      </c>
    </row>
    <row r="655" spans="1:4" x14ac:dyDescent="0.2">
      <c r="A655">
        <v>654</v>
      </c>
      <c r="B655">
        <v>4</v>
      </c>
      <c r="C655">
        <f t="shared" si="22"/>
        <v>1384</v>
      </c>
      <c r="D655" s="2">
        <f t="shared" si="23"/>
        <v>19.409836065573771</v>
      </c>
    </row>
    <row r="656" spans="1:4" x14ac:dyDescent="0.2">
      <c r="A656">
        <v>655</v>
      </c>
      <c r="B656">
        <v>3</v>
      </c>
      <c r="C656">
        <f t="shared" si="22"/>
        <v>1385</v>
      </c>
      <c r="D656" s="2">
        <f t="shared" si="23"/>
        <v>19.409836065573771</v>
      </c>
    </row>
    <row r="657" spans="1:4" x14ac:dyDescent="0.2">
      <c r="A657">
        <v>656</v>
      </c>
      <c r="B657">
        <v>2</v>
      </c>
      <c r="C657">
        <f t="shared" si="22"/>
        <v>1386</v>
      </c>
      <c r="D657" s="2">
        <f t="shared" si="23"/>
        <v>19.409836065573771</v>
      </c>
    </row>
    <row r="658" spans="1:4" x14ac:dyDescent="0.2">
      <c r="A658">
        <v>657</v>
      </c>
      <c r="B658">
        <v>10</v>
      </c>
      <c r="C658">
        <f t="shared" si="22"/>
        <v>1387</v>
      </c>
      <c r="D658" s="2">
        <f t="shared" si="23"/>
        <v>19.409836065573771</v>
      </c>
    </row>
    <row r="659" spans="1:4" x14ac:dyDescent="0.2">
      <c r="A659">
        <v>658</v>
      </c>
      <c r="B659">
        <v>5</v>
      </c>
      <c r="C659">
        <f t="shared" si="22"/>
        <v>1388</v>
      </c>
      <c r="D659" s="2">
        <f t="shared" si="23"/>
        <v>19.409836065573771</v>
      </c>
    </row>
    <row r="660" spans="1:4" x14ac:dyDescent="0.2">
      <c r="A660">
        <v>659</v>
      </c>
      <c r="B660">
        <v>6</v>
      </c>
      <c r="C660">
        <f t="shared" si="22"/>
        <v>1389</v>
      </c>
      <c r="D660" s="2">
        <f t="shared" si="23"/>
        <v>19.409836065573771</v>
      </c>
    </row>
    <row r="661" spans="1:4" x14ac:dyDescent="0.2">
      <c r="A661">
        <v>660</v>
      </c>
      <c r="B661">
        <v>8</v>
      </c>
      <c r="C661">
        <f t="shared" si="22"/>
        <v>1390</v>
      </c>
      <c r="D661" s="2">
        <f t="shared" si="23"/>
        <v>19.409836065573771</v>
      </c>
    </row>
    <row r="662" spans="1:4" x14ac:dyDescent="0.2">
      <c r="A662">
        <v>661</v>
      </c>
      <c r="B662">
        <v>31</v>
      </c>
      <c r="C662">
        <f t="shared" si="22"/>
        <v>1391</v>
      </c>
      <c r="D662" s="2">
        <f t="shared" si="23"/>
        <v>19.409836065573771</v>
      </c>
    </row>
    <row r="663" spans="1:4" x14ac:dyDescent="0.2">
      <c r="A663">
        <v>662</v>
      </c>
      <c r="B663">
        <v>4</v>
      </c>
      <c r="C663">
        <f t="shared" si="22"/>
        <v>1392</v>
      </c>
      <c r="D663" s="2">
        <f t="shared" si="23"/>
        <v>19.409836065573771</v>
      </c>
    </row>
    <row r="664" spans="1:4" x14ac:dyDescent="0.2">
      <c r="A664">
        <v>663</v>
      </c>
      <c r="B664">
        <v>34</v>
      </c>
      <c r="C664">
        <f t="shared" si="22"/>
        <v>1393</v>
      </c>
      <c r="D664" s="2">
        <f t="shared" si="23"/>
        <v>19.409836065573771</v>
      </c>
    </row>
    <row r="665" spans="1:4" x14ac:dyDescent="0.2">
      <c r="A665">
        <v>664</v>
      </c>
      <c r="B665">
        <v>35</v>
      </c>
      <c r="C665">
        <f t="shared" si="22"/>
        <v>1394</v>
      </c>
      <c r="D665" s="2">
        <f t="shared" si="23"/>
        <v>19.409836065573771</v>
      </c>
    </row>
    <row r="666" spans="1:4" x14ac:dyDescent="0.2">
      <c r="A666">
        <v>665</v>
      </c>
      <c r="B666">
        <v>7</v>
      </c>
      <c r="C666">
        <f t="shared" si="22"/>
        <v>1395</v>
      </c>
      <c r="D666" s="2">
        <f t="shared" si="23"/>
        <v>19.409836065573771</v>
      </c>
    </row>
    <row r="667" spans="1:4" x14ac:dyDescent="0.2">
      <c r="A667">
        <v>666</v>
      </c>
      <c r="B667">
        <v>6</v>
      </c>
      <c r="C667">
        <f t="shared" si="22"/>
        <v>1396</v>
      </c>
      <c r="D667" s="2">
        <f t="shared" si="23"/>
        <v>19.409836065573771</v>
      </c>
    </row>
    <row r="668" spans="1:4" x14ac:dyDescent="0.2">
      <c r="A668">
        <v>667</v>
      </c>
      <c r="B668">
        <v>11</v>
      </c>
      <c r="C668">
        <f t="shared" si="22"/>
        <v>1397</v>
      </c>
      <c r="D668" s="2">
        <f t="shared" si="23"/>
        <v>19.409836065573771</v>
      </c>
    </row>
    <row r="669" spans="1:4" x14ac:dyDescent="0.2">
      <c r="A669">
        <v>668</v>
      </c>
      <c r="B669">
        <v>17</v>
      </c>
      <c r="C669">
        <f t="shared" si="22"/>
        <v>1398</v>
      </c>
      <c r="D669" s="2">
        <f t="shared" si="23"/>
        <v>19.409836065573771</v>
      </c>
    </row>
    <row r="670" spans="1:4" x14ac:dyDescent="0.2">
      <c r="A670">
        <v>669</v>
      </c>
      <c r="B670">
        <v>19</v>
      </c>
      <c r="C670">
        <f t="shared" si="22"/>
        <v>1399</v>
      </c>
      <c r="D670" s="2">
        <f t="shared" si="23"/>
        <v>19.409836065573771</v>
      </c>
    </row>
    <row r="671" spans="1:4" x14ac:dyDescent="0.2">
      <c r="A671" s="5">
        <v>670</v>
      </c>
      <c r="B671" s="5">
        <v>16</v>
      </c>
      <c r="C671">
        <f t="shared" si="22"/>
        <v>1400</v>
      </c>
      <c r="D671" s="2">
        <f t="shared" si="23"/>
        <v>19.409836065573771</v>
      </c>
    </row>
    <row r="672" spans="1:4" x14ac:dyDescent="0.2">
      <c r="A672" s="5">
        <v>671</v>
      </c>
      <c r="B672" s="5">
        <v>25</v>
      </c>
      <c r="C672">
        <f t="shared" si="22"/>
        <v>1401</v>
      </c>
      <c r="D672" s="2">
        <f t="shared" si="23"/>
        <v>19.409836065573771</v>
      </c>
    </row>
    <row r="673" spans="1:4" x14ac:dyDescent="0.2">
      <c r="A673" s="5">
        <v>672</v>
      </c>
      <c r="B673" s="5">
        <v>52</v>
      </c>
      <c r="C673">
        <f t="shared" si="22"/>
        <v>1402</v>
      </c>
      <c r="D673" s="2">
        <f t="shared" si="23"/>
        <v>19.409836065573771</v>
      </c>
    </row>
    <row r="674" spans="1:4" x14ac:dyDescent="0.2">
      <c r="A674" s="5">
        <v>673</v>
      </c>
      <c r="B674" s="5">
        <v>23</v>
      </c>
      <c r="C674">
        <f t="shared" si="22"/>
        <v>1403</v>
      </c>
      <c r="D674" s="2">
        <f t="shared" si="23"/>
        <v>19.409836065573771</v>
      </c>
    </row>
    <row r="675" spans="1:4" x14ac:dyDescent="0.2">
      <c r="A675" s="5">
        <v>674</v>
      </c>
      <c r="B675" s="5">
        <v>32</v>
      </c>
      <c r="C675">
        <f t="shared" si="22"/>
        <v>1404</v>
      </c>
      <c r="D675" s="2">
        <f t="shared" si="23"/>
        <v>19.409836065573771</v>
      </c>
    </row>
    <row r="676" spans="1:4" x14ac:dyDescent="0.2">
      <c r="A676" s="5">
        <v>675</v>
      </c>
      <c r="B676" s="5">
        <v>31</v>
      </c>
      <c r="C676">
        <f t="shared" si="22"/>
        <v>1405</v>
      </c>
      <c r="D676" s="2">
        <f t="shared" si="23"/>
        <v>19.409836065573771</v>
      </c>
    </row>
    <row r="677" spans="1:4" x14ac:dyDescent="0.2">
      <c r="A677" s="5">
        <v>676</v>
      </c>
      <c r="B677" s="5">
        <v>28</v>
      </c>
      <c r="C677">
        <f t="shared" si="22"/>
        <v>1406</v>
      </c>
      <c r="D677" s="2">
        <f t="shared" si="23"/>
        <v>19.409836065573771</v>
      </c>
    </row>
    <row r="678" spans="1:4" x14ac:dyDescent="0.2">
      <c r="A678" s="5">
        <v>677</v>
      </c>
      <c r="B678" s="5">
        <v>35</v>
      </c>
      <c r="C678">
        <f t="shared" si="22"/>
        <v>1407</v>
      </c>
      <c r="D678" s="2">
        <f t="shared" si="23"/>
        <v>19.409836065573771</v>
      </c>
    </row>
    <row r="679" spans="1:4" x14ac:dyDescent="0.2">
      <c r="A679" s="5">
        <v>678</v>
      </c>
      <c r="B679" s="5">
        <v>64</v>
      </c>
      <c r="C679">
        <f t="shared" si="22"/>
        <v>1408</v>
      </c>
      <c r="D679" s="2">
        <f t="shared" si="23"/>
        <v>19.409836065573771</v>
      </c>
    </row>
    <row r="680" spans="1:4" x14ac:dyDescent="0.2">
      <c r="A680" s="5">
        <v>679</v>
      </c>
      <c r="B680" s="5">
        <v>48</v>
      </c>
      <c r="C680">
        <f t="shared" si="22"/>
        <v>1409</v>
      </c>
      <c r="D680" s="2">
        <f t="shared" si="23"/>
        <v>19.409836065573771</v>
      </c>
    </row>
    <row r="681" spans="1:4" x14ac:dyDescent="0.2">
      <c r="A681" s="5">
        <v>680</v>
      </c>
      <c r="B681" s="5">
        <v>11</v>
      </c>
      <c r="C681">
        <f t="shared" si="22"/>
        <v>1410</v>
      </c>
      <c r="D681" s="2">
        <f t="shared" si="23"/>
        <v>19.409836065573771</v>
      </c>
    </row>
    <row r="682" spans="1:4" x14ac:dyDescent="0.2">
      <c r="A682" s="5">
        <v>681</v>
      </c>
      <c r="B682" s="5">
        <v>5</v>
      </c>
      <c r="C682">
        <f t="shared" si="22"/>
        <v>1411</v>
      </c>
      <c r="D682" s="2">
        <f t="shared" si="23"/>
        <v>19.409836065573771</v>
      </c>
    </row>
    <row r="683" spans="1:4" x14ac:dyDescent="0.2">
      <c r="A683" s="5">
        <v>682</v>
      </c>
      <c r="B683" s="5">
        <v>3</v>
      </c>
      <c r="C683">
        <f t="shared" si="22"/>
        <v>1412</v>
      </c>
      <c r="D683" s="2">
        <f t="shared" si="23"/>
        <v>19.409836065573771</v>
      </c>
    </row>
    <row r="684" spans="1:4" x14ac:dyDescent="0.2">
      <c r="A684" s="5">
        <v>683</v>
      </c>
      <c r="B684" s="5">
        <v>10</v>
      </c>
      <c r="C684">
        <f t="shared" si="22"/>
        <v>1413</v>
      </c>
      <c r="D684" s="2">
        <f t="shared" si="23"/>
        <v>19.409836065573771</v>
      </c>
    </row>
    <row r="685" spans="1:4" x14ac:dyDescent="0.2">
      <c r="A685" s="5">
        <v>684</v>
      </c>
      <c r="B685" s="5">
        <v>10</v>
      </c>
      <c r="C685">
        <f t="shared" si="22"/>
        <v>1414</v>
      </c>
      <c r="D685" s="2">
        <f t="shared" si="23"/>
        <v>19.409836065573771</v>
      </c>
    </row>
    <row r="686" spans="1:4" x14ac:dyDescent="0.2">
      <c r="A686" s="5">
        <v>685</v>
      </c>
      <c r="B686" s="5">
        <v>2</v>
      </c>
      <c r="C686">
        <f t="shared" si="22"/>
        <v>1415</v>
      </c>
      <c r="D686" s="2">
        <f t="shared" si="23"/>
        <v>19.409836065573771</v>
      </c>
    </row>
    <row r="687" spans="1:4" x14ac:dyDescent="0.2">
      <c r="A687" s="5">
        <v>686</v>
      </c>
      <c r="B687" s="5">
        <v>52</v>
      </c>
      <c r="C687">
        <f t="shared" si="22"/>
        <v>1416</v>
      </c>
      <c r="D687" s="2">
        <f t="shared" si="23"/>
        <v>19.409836065573771</v>
      </c>
    </row>
    <row r="688" spans="1:4" x14ac:dyDescent="0.2">
      <c r="A688" s="5">
        <v>687</v>
      </c>
      <c r="B688" s="5">
        <v>0</v>
      </c>
      <c r="C688">
        <f t="shared" si="22"/>
        <v>1417</v>
      </c>
      <c r="D688" s="2">
        <f t="shared" si="23"/>
        <v>19.409836065573771</v>
      </c>
    </row>
    <row r="689" spans="1:5" x14ac:dyDescent="0.2">
      <c r="A689" s="5">
        <v>688</v>
      </c>
      <c r="B689" s="5">
        <v>12</v>
      </c>
      <c r="C689">
        <f t="shared" si="22"/>
        <v>1418</v>
      </c>
      <c r="D689" s="2">
        <f t="shared" si="23"/>
        <v>19.409836065573771</v>
      </c>
    </row>
    <row r="690" spans="1:5" x14ac:dyDescent="0.2">
      <c r="A690" s="5">
        <v>689</v>
      </c>
      <c r="B690" s="5">
        <v>51</v>
      </c>
      <c r="C690">
        <f t="shared" si="22"/>
        <v>1419</v>
      </c>
      <c r="D690" s="2">
        <f t="shared" si="23"/>
        <v>19.409836065573771</v>
      </c>
    </row>
    <row r="691" spans="1:5" x14ac:dyDescent="0.2">
      <c r="A691" s="5">
        <v>690</v>
      </c>
      <c r="B691" s="5">
        <v>17</v>
      </c>
      <c r="C691">
        <f t="shared" si="22"/>
        <v>1420</v>
      </c>
      <c r="D691" s="2">
        <f t="shared" si="23"/>
        <v>19.409836065573771</v>
      </c>
    </row>
    <row r="692" spans="1:5" x14ac:dyDescent="0.2">
      <c r="A692" s="5">
        <v>691</v>
      </c>
      <c r="B692" s="5">
        <v>11</v>
      </c>
      <c r="C692">
        <f t="shared" si="22"/>
        <v>1421</v>
      </c>
      <c r="D692" s="2">
        <f t="shared" si="23"/>
        <v>19.409836065573771</v>
      </c>
    </row>
    <row r="693" spans="1:5" x14ac:dyDescent="0.2">
      <c r="A693" s="5">
        <v>692</v>
      </c>
      <c r="B693" s="5">
        <v>0</v>
      </c>
      <c r="C693">
        <f t="shared" si="22"/>
        <v>1422</v>
      </c>
      <c r="D693" s="2">
        <f t="shared" si="23"/>
        <v>19.409836065573771</v>
      </c>
    </row>
    <row r="694" spans="1:5" x14ac:dyDescent="0.2">
      <c r="A694" s="5">
        <v>693</v>
      </c>
      <c r="B694" s="5">
        <v>35</v>
      </c>
      <c r="C694">
        <f t="shared" si="22"/>
        <v>1423</v>
      </c>
      <c r="D694" s="2">
        <f t="shared" si="23"/>
        <v>19.409836065573771</v>
      </c>
    </row>
    <row r="695" spans="1:5" x14ac:dyDescent="0.2">
      <c r="A695" s="5">
        <v>694</v>
      </c>
      <c r="B695" s="5">
        <v>2</v>
      </c>
      <c r="C695">
        <f t="shared" si="22"/>
        <v>1424</v>
      </c>
      <c r="D695" s="2">
        <f t="shared" si="23"/>
        <v>19.409836065573771</v>
      </c>
    </row>
    <row r="696" spans="1:5" x14ac:dyDescent="0.2">
      <c r="A696" s="5">
        <v>695</v>
      </c>
      <c r="B696" s="5">
        <v>46</v>
      </c>
      <c r="C696">
        <f t="shared" si="22"/>
        <v>1425</v>
      </c>
      <c r="D696" s="2">
        <f t="shared" si="23"/>
        <v>19.409836065573771</v>
      </c>
    </row>
    <row r="697" spans="1:5" x14ac:dyDescent="0.2">
      <c r="A697" s="5">
        <v>696</v>
      </c>
      <c r="B697" s="5">
        <v>1</v>
      </c>
      <c r="C697">
        <f t="shared" si="22"/>
        <v>1426</v>
      </c>
      <c r="D697" s="2">
        <f t="shared" si="23"/>
        <v>19.409836065573771</v>
      </c>
    </row>
    <row r="698" spans="1:5" x14ac:dyDescent="0.2">
      <c r="A698" s="5">
        <v>697</v>
      </c>
      <c r="B698" s="5">
        <v>7</v>
      </c>
      <c r="C698">
        <f t="shared" si="22"/>
        <v>1427</v>
      </c>
      <c r="D698" s="2">
        <f t="shared" si="23"/>
        <v>19.409836065573771</v>
      </c>
    </row>
    <row r="699" spans="1:5" x14ac:dyDescent="0.2">
      <c r="A699" s="5">
        <v>698</v>
      </c>
      <c r="B699" s="5">
        <v>9</v>
      </c>
      <c r="C699">
        <f t="shared" si="22"/>
        <v>1428</v>
      </c>
      <c r="D699" s="2">
        <f t="shared" si="23"/>
        <v>19.409836065573771</v>
      </c>
    </row>
    <row r="700" spans="1:5" x14ac:dyDescent="0.2">
      <c r="A700" s="5">
        <v>699</v>
      </c>
      <c r="B700" s="5">
        <v>9</v>
      </c>
      <c r="C700">
        <f t="shared" si="22"/>
        <v>1429</v>
      </c>
      <c r="D700" s="2">
        <f t="shared" si="23"/>
        <v>19.409836065573771</v>
      </c>
    </row>
    <row r="701" spans="1:5" x14ac:dyDescent="0.2">
      <c r="A701" s="5">
        <v>700</v>
      </c>
      <c r="B701" s="5">
        <v>47</v>
      </c>
      <c r="C701" s="6">
        <f t="shared" si="22"/>
        <v>1430</v>
      </c>
      <c r="D701" s="2">
        <f t="shared" si="23"/>
        <v>19.409836065573771</v>
      </c>
      <c r="E701" s="9">
        <f>D701*(1460-C701)/30</f>
        <v>19.409836065573771</v>
      </c>
    </row>
    <row r="702" spans="1:5" x14ac:dyDescent="0.2">
      <c r="A702" s="5">
        <v>701</v>
      </c>
      <c r="B702" s="5">
        <v>0</v>
      </c>
      <c r="C702" s="6">
        <f t="shared" si="22"/>
        <v>1431</v>
      </c>
      <c r="D702" s="2">
        <f t="shared" si="23"/>
        <v>19.409836065573771</v>
      </c>
      <c r="E702" s="9">
        <f t="shared" ref="E702:E731" si="24">D702*(1460-C702)/30</f>
        <v>18.762841530054644</v>
      </c>
    </row>
    <row r="703" spans="1:5" x14ac:dyDescent="0.2">
      <c r="A703" s="5">
        <v>702</v>
      </c>
      <c r="B703" s="5">
        <v>0</v>
      </c>
      <c r="C703" s="6">
        <f t="shared" si="22"/>
        <v>1432</v>
      </c>
      <c r="D703" s="2">
        <f t="shared" si="23"/>
        <v>19.409836065573771</v>
      </c>
      <c r="E703" s="9">
        <f t="shared" si="24"/>
        <v>18.11584699453552</v>
      </c>
    </row>
    <row r="704" spans="1:5" x14ac:dyDescent="0.2">
      <c r="A704" s="5">
        <v>703</v>
      </c>
      <c r="B704" s="5">
        <v>10</v>
      </c>
      <c r="C704" s="6">
        <f t="shared" si="22"/>
        <v>1433</v>
      </c>
      <c r="D704" s="2">
        <f t="shared" si="23"/>
        <v>19.409836065573771</v>
      </c>
      <c r="E704" s="9">
        <f t="shared" si="24"/>
        <v>17.468852459016393</v>
      </c>
    </row>
    <row r="705" spans="1:5" x14ac:dyDescent="0.2">
      <c r="A705" s="5">
        <v>704</v>
      </c>
      <c r="B705" s="5">
        <v>24</v>
      </c>
      <c r="C705" s="6">
        <f t="shared" si="22"/>
        <v>1434</v>
      </c>
      <c r="D705" s="2">
        <f t="shared" si="23"/>
        <v>19.409836065573771</v>
      </c>
      <c r="E705" s="9">
        <f t="shared" si="24"/>
        <v>16.821857923497266</v>
      </c>
    </row>
    <row r="706" spans="1:5" x14ac:dyDescent="0.2">
      <c r="A706" s="5">
        <v>705</v>
      </c>
      <c r="B706" s="5">
        <v>22</v>
      </c>
      <c r="C706" s="6">
        <f t="shared" si="22"/>
        <v>1435</v>
      </c>
      <c r="D706" s="2">
        <f t="shared" si="23"/>
        <v>19.409836065573771</v>
      </c>
      <c r="E706" s="9">
        <f t="shared" si="24"/>
        <v>16.174863387978142</v>
      </c>
    </row>
    <row r="707" spans="1:5" x14ac:dyDescent="0.2">
      <c r="A707" s="5">
        <v>706</v>
      </c>
      <c r="B707" s="5">
        <v>9</v>
      </c>
      <c r="C707" s="6">
        <f t="shared" ref="C707:C731" si="25">A707+730</f>
        <v>1436</v>
      </c>
      <c r="D707" s="2">
        <f t="shared" si="23"/>
        <v>19.409836065573771</v>
      </c>
      <c r="E707" s="9">
        <f t="shared" si="24"/>
        <v>15.527868852459017</v>
      </c>
    </row>
    <row r="708" spans="1:5" x14ac:dyDescent="0.2">
      <c r="A708" s="5">
        <v>707</v>
      </c>
      <c r="B708" s="5">
        <v>28</v>
      </c>
      <c r="C708" s="6">
        <f t="shared" si="25"/>
        <v>1437</v>
      </c>
      <c r="D708" s="2">
        <f t="shared" ref="D708:D731" si="26">$D$2</f>
        <v>19.409836065573771</v>
      </c>
      <c r="E708" s="9">
        <f t="shared" si="24"/>
        <v>14.880874316939892</v>
      </c>
    </row>
    <row r="709" spans="1:5" x14ac:dyDescent="0.2">
      <c r="A709" s="5">
        <v>708</v>
      </c>
      <c r="B709" s="5">
        <v>3</v>
      </c>
      <c r="C709" s="6">
        <f t="shared" si="25"/>
        <v>1438</v>
      </c>
      <c r="D709" s="2">
        <f t="shared" si="26"/>
        <v>19.409836065573771</v>
      </c>
      <c r="E709" s="9">
        <f t="shared" si="24"/>
        <v>14.233879781420766</v>
      </c>
    </row>
    <row r="710" spans="1:5" x14ac:dyDescent="0.2">
      <c r="A710" s="5">
        <v>709</v>
      </c>
      <c r="B710" s="5">
        <v>0</v>
      </c>
      <c r="C710" s="6">
        <f t="shared" si="25"/>
        <v>1439</v>
      </c>
      <c r="D710" s="2">
        <f t="shared" si="26"/>
        <v>19.409836065573771</v>
      </c>
      <c r="E710" s="9">
        <f t="shared" si="24"/>
        <v>13.586885245901639</v>
      </c>
    </row>
    <row r="711" spans="1:5" x14ac:dyDescent="0.2">
      <c r="A711" s="5">
        <v>710</v>
      </c>
      <c r="B711" s="5">
        <v>21</v>
      </c>
      <c r="C711" s="6">
        <f t="shared" si="25"/>
        <v>1440</v>
      </c>
      <c r="D711" s="2">
        <f t="shared" si="26"/>
        <v>19.409836065573771</v>
      </c>
      <c r="E711" s="9">
        <f t="shared" si="24"/>
        <v>12.939890710382514</v>
      </c>
    </row>
    <row r="712" spans="1:5" x14ac:dyDescent="0.2">
      <c r="A712" s="5">
        <v>711</v>
      </c>
      <c r="B712" s="5">
        <v>21</v>
      </c>
      <c r="C712" s="6">
        <f t="shared" si="25"/>
        <v>1441</v>
      </c>
      <c r="D712" s="2">
        <f t="shared" si="26"/>
        <v>19.409836065573771</v>
      </c>
      <c r="E712" s="9">
        <f t="shared" si="24"/>
        <v>12.292896174863388</v>
      </c>
    </row>
    <row r="713" spans="1:5" x14ac:dyDescent="0.2">
      <c r="A713" s="5">
        <v>712</v>
      </c>
      <c r="B713" s="5">
        <v>10</v>
      </c>
      <c r="C713" s="6">
        <f t="shared" si="25"/>
        <v>1442</v>
      </c>
      <c r="D713" s="2">
        <f t="shared" si="26"/>
        <v>19.409836065573771</v>
      </c>
      <c r="E713" s="9">
        <f t="shared" si="24"/>
        <v>11.645901639344261</v>
      </c>
    </row>
    <row r="714" spans="1:5" x14ac:dyDescent="0.2">
      <c r="A714" s="5">
        <v>713</v>
      </c>
      <c r="B714" s="5">
        <v>42</v>
      </c>
      <c r="C714" s="6">
        <f t="shared" si="25"/>
        <v>1443</v>
      </c>
      <c r="D714" s="2">
        <f t="shared" si="26"/>
        <v>19.409836065573771</v>
      </c>
      <c r="E714" s="9">
        <f t="shared" si="24"/>
        <v>10.998907103825136</v>
      </c>
    </row>
    <row r="715" spans="1:5" x14ac:dyDescent="0.2">
      <c r="A715" s="5">
        <v>714</v>
      </c>
      <c r="B715" s="5">
        <v>9</v>
      </c>
      <c r="C715" s="6">
        <f t="shared" si="25"/>
        <v>1444</v>
      </c>
      <c r="D715" s="2">
        <f t="shared" si="26"/>
        <v>19.409836065573771</v>
      </c>
      <c r="E715" s="9">
        <f t="shared" si="24"/>
        <v>10.351912568306011</v>
      </c>
    </row>
    <row r="716" spans="1:5" x14ac:dyDescent="0.2">
      <c r="A716" s="5">
        <v>715</v>
      </c>
      <c r="B716" s="5">
        <v>37</v>
      </c>
      <c r="C716" s="6">
        <f t="shared" si="25"/>
        <v>1445</v>
      </c>
      <c r="D716" s="2">
        <f t="shared" si="26"/>
        <v>19.409836065573771</v>
      </c>
      <c r="E716" s="9">
        <f t="shared" si="24"/>
        <v>9.7049180327868854</v>
      </c>
    </row>
    <row r="717" spans="1:5" x14ac:dyDescent="0.2">
      <c r="A717" s="5">
        <v>716</v>
      </c>
      <c r="B717" s="5">
        <v>4</v>
      </c>
      <c r="C717" s="6">
        <f t="shared" si="25"/>
        <v>1446</v>
      </c>
      <c r="D717" s="2">
        <f t="shared" si="26"/>
        <v>19.409836065573771</v>
      </c>
      <c r="E717" s="9">
        <f t="shared" si="24"/>
        <v>9.05792349726776</v>
      </c>
    </row>
    <row r="718" spans="1:5" x14ac:dyDescent="0.2">
      <c r="A718" s="5">
        <v>717</v>
      </c>
      <c r="B718" s="5">
        <v>38</v>
      </c>
      <c r="C718" s="6">
        <f t="shared" si="25"/>
        <v>1447</v>
      </c>
      <c r="D718" s="2">
        <f t="shared" si="26"/>
        <v>19.409836065573771</v>
      </c>
      <c r="E718" s="9">
        <f t="shared" si="24"/>
        <v>8.4109289617486329</v>
      </c>
    </row>
    <row r="719" spans="1:5" x14ac:dyDescent="0.2">
      <c r="A719" s="5">
        <v>718</v>
      </c>
      <c r="B719" s="5">
        <v>9</v>
      </c>
      <c r="C719" s="6">
        <f t="shared" si="25"/>
        <v>1448</v>
      </c>
      <c r="D719" s="2">
        <f t="shared" si="26"/>
        <v>19.409836065573771</v>
      </c>
      <c r="E719" s="9">
        <f t="shared" si="24"/>
        <v>7.7639344262295085</v>
      </c>
    </row>
    <row r="720" spans="1:5" x14ac:dyDescent="0.2">
      <c r="A720" s="5">
        <v>719</v>
      </c>
      <c r="B720" s="5">
        <v>13</v>
      </c>
      <c r="C720" s="6">
        <f t="shared" si="25"/>
        <v>1449</v>
      </c>
      <c r="D720" s="2">
        <f t="shared" si="26"/>
        <v>19.409836065573771</v>
      </c>
      <c r="E720" s="9">
        <f t="shared" si="24"/>
        <v>7.1169398907103831</v>
      </c>
    </row>
    <row r="721" spans="1:5" x14ac:dyDescent="0.2">
      <c r="A721" s="5">
        <v>720</v>
      </c>
      <c r="B721" s="5">
        <v>2</v>
      </c>
      <c r="C721" s="6">
        <f t="shared" si="25"/>
        <v>1450</v>
      </c>
      <c r="D721" s="2">
        <f t="shared" si="26"/>
        <v>19.409836065573771</v>
      </c>
      <c r="E721" s="9">
        <f t="shared" si="24"/>
        <v>6.4699453551912569</v>
      </c>
    </row>
    <row r="722" spans="1:5" x14ac:dyDescent="0.2">
      <c r="A722" s="5">
        <v>721</v>
      </c>
      <c r="B722" s="5">
        <v>36</v>
      </c>
      <c r="C722" s="6">
        <f t="shared" si="25"/>
        <v>1451</v>
      </c>
      <c r="D722" s="2">
        <f t="shared" si="26"/>
        <v>19.409836065573771</v>
      </c>
      <c r="E722" s="9">
        <f t="shared" si="24"/>
        <v>5.8229508196721307</v>
      </c>
    </row>
    <row r="723" spans="1:5" x14ac:dyDescent="0.2">
      <c r="A723" s="5">
        <v>722</v>
      </c>
      <c r="B723" s="5">
        <v>19</v>
      </c>
      <c r="C723" s="6">
        <f t="shared" si="25"/>
        <v>1452</v>
      </c>
      <c r="D723" s="2">
        <f t="shared" si="26"/>
        <v>19.409836065573771</v>
      </c>
      <c r="E723" s="9">
        <f t="shared" si="24"/>
        <v>5.1759562841530053</v>
      </c>
    </row>
    <row r="724" spans="1:5" x14ac:dyDescent="0.2">
      <c r="A724" s="5">
        <v>723</v>
      </c>
      <c r="B724" s="5">
        <v>8</v>
      </c>
      <c r="C724" s="6">
        <f t="shared" si="25"/>
        <v>1453</v>
      </c>
      <c r="D724" s="2">
        <f t="shared" si="26"/>
        <v>19.409836065573771</v>
      </c>
      <c r="E724" s="9">
        <f t="shared" si="24"/>
        <v>4.52896174863388</v>
      </c>
    </row>
    <row r="725" spans="1:5" x14ac:dyDescent="0.2">
      <c r="A725" s="5">
        <v>724</v>
      </c>
      <c r="B725" s="5">
        <v>2</v>
      </c>
      <c r="C725" s="6">
        <f t="shared" si="25"/>
        <v>1454</v>
      </c>
      <c r="D725" s="2">
        <f t="shared" si="26"/>
        <v>19.409836065573771</v>
      </c>
      <c r="E725" s="9">
        <f t="shared" si="24"/>
        <v>3.8819672131147542</v>
      </c>
    </row>
    <row r="726" spans="1:5" x14ac:dyDescent="0.2">
      <c r="A726" s="5">
        <v>725</v>
      </c>
      <c r="B726" s="5">
        <v>36</v>
      </c>
      <c r="C726" s="6">
        <f t="shared" si="25"/>
        <v>1455</v>
      </c>
      <c r="D726" s="2">
        <f t="shared" si="26"/>
        <v>19.409836065573771</v>
      </c>
      <c r="E726" s="9">
        <f t="shared" si="24"/>
        <v>3.2349726775956285</v>
      </c>
    </row>
    <row r="727" spans="1:5" x14ac:dyDescent="0.2">
      <c r="A727" s="5">
        <v>726</v>
      </c>
      <c r="B727" s="5">
        <v>25</v>
      </c>
      <c r="C727" s="6">
        <f t="shared" si="25"/>
        <v>1456</v>
      </c>
      <c r="D727" s="2">
        <f t="shared" si="26"/>
        <v>19.409836065573771</v>
      </c>
      <c r="E727" s="9">
        <f t="shared" si="24"/>
        <v>2.5879781420765027</v>
      </c>
    </row>
    <row r="728" spans="1:5" x14ac:dyDescent="0.2">
      <c r="A728" s="5">
        <v>727</v>
      </c>
      <c r="B728" s="5">
        <v>43</v>
      </c>
      <c r="C728" s="6">
        <f t="shared" si="25"/>
        <v>1457</v>
      </c>
      <c r="D728" s="2">
        <f t="shared" si="26"/>
        <v>19.409836065573771</v>
      </c>
      <c r="E728" s="9">
        <f t="shared" si="24"/>
        <v>1.9409836065573771</v>
      </c>
    </row>
    <row r="729" spans="1:5" x14ac:dyDescent="0.2">
      <c r="A729" s="5">
        <v>728</v>
      </c>
      <c r="B729" s="5">
        <v>4</v>
      </c>
      <c r="C729" s="6">
        <f t="shared" si="25"/>
        <v>1458</v>
      </c>
      <c r="D729" s="2">
        <f t="shared" si="26"/>
        <v>19.409836065573771</v>
      </c>
      <c r="E729" s="9">
        <f t="shared" si="24"/>
        <v>1.2939890710382513</v>
      </c>
    </row>
    <row r="730" spans="1:5" x14ac:dyDescent="0.2">
      <c r="A730" s="5">
        <v>729</v>
      </c>
      <c r="B730" s="5">
        <v>13</v>
      </c>
      <c r="C730" s="6">
        <f t="shared" si="25"/>
        <v>1459</v>
      </c>
      <c r="D730" s="2">
        <f t="shared" si="26"/>
        <v>19.409836065573771</v>
      </c>
      <c r="E730" s="9">
        <f t="shared" si="24"/>
        <v>0.64699453551912567</v>
      </c>
    </row>
    <row r="731" spans="1:5" x14ac:dyDescent="0.2">
      <c r="A731" s="5">
        <v>730</v>
      </c>
      <c r="B731" s="5">
        <v>2</v>
      </c>
      <c r="C731" s="6">
        <f t="shared" si="25"/>
        <v>1460</v>
      </c>
      <c r="D731" s="2">
        <f t="shared" si="26"/>
        <v>19.409836065573771</v>
      </c>
      <c r="E731" s="9">
        <f t="shared" si="24"/>
        <v>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1"/>
  <sheetViews>
    <sheetView topLeftCell="A694" workbookViewId="0">
      <selection activeCell="D731" sqref="D731"/>
    </sheetView>
  </sheetViews>
  <sheetFormatPr baseColWidth="10" defaultRowHeight="16" x14ac:dyDescent="0.2"/>
  <cols>
    <col min="7" max="7" width="13.33203125" bestFit="1" customWidth="1"/>
    <col min="8" max="8" width="12.1640625" bestFit="1" customWidth="1"/>
  </cols>
  <sheetData>
    <row r="1" spans="1:10" x14ac:dyDescent="0.2">
      <c r="A1" t="s">
        <v>0</v>
      </c>
      <c r="B1" t="s">
        <v>5</v>
      </c>
      <c r="C1" t="s">
        <v>32</v>
      </c>
      <c r="D1" t="s">
        <v>26</v>
      </c>
      <c r="E1" t="s">
        <v>28</v>
      </c>
    </row>
    <row r="2" spans="1:10" x14ac:dyDescent="0.2">
      <c r="A2">
        <v>1</v>
      </c>
      <c r="B2">
        <v>0</v>
      </c>
      <c r="C2">
        <f>A2+730</f>
        <v>731</v>
      </c>
      <c r="D2" s="2">
        <f>AVERAGE(B671:B731)</f>
        <v>15.704918032786885</v>
      </c>
      <c r="G2" t="s">
        <v>64</v>
      </c>
    </row>
    <row r="3" spans="1:10" x14ac:dyDescent="0.2">
      <c r="A3">
        <v>2</v>
      </c>
      <c r="B3">
        <v>0</v>
      </c>
      <c r="C3">
        <f t="shared" ref="C3:C66" si="0">A3+730</f>
        <v>732</v>
      </c>
      <c r="D3" s="2">
        <f>$D$2</f>
        <v>15.704918032786885</v>
      </c>
    </row>
    <row r="4" spans="1:10" x14ac:dyDescent="0.2">
      <c r="A4">
        <v>3</v>
      </c>
      <c r="B4">
        <v>0</v>
      </c>
      <c r="C4">
        <f t="shared" si="0"/>
        <v>733</v>
      </c>
      <c r="D4" s="2">
        <f t="shared" ref="D4:D67" si="1">$D$2</f>
        <v>15.704918032786885</v>
      </c>
      <c r="H4" t="s">
        <v>9</v>
      </c>
      <c r="I4" t="s">
        <v>10</v>
      </c>
      <c r="J4" t="s">
        <v>23</v>
      </c>
    </row>
    <row r="5" spans="1:10" x14ac:dyDescent="0.2">
      <c r="A5">
        <v>4</v>
      </c>
      <c r="B5">
        <v>0</v>
      </c>
      <c r="C5">
        <f t="shared" si="0"/>
        <v>734</v>
      </c>
      <c r="D5" s="2">
        <f t="shared" si="1"/>
        <v>15.704918032786885</v>
      </c>
      <c r="G5" s="3" t="s">
        <v>20</v>
      </c>
      <c r="H5">
        <f>731</f>
        <v>731</v>
      </c>
      <c r="I5">
        <f>H5+72</f>
        <v>803</v>
      </c>
      <c r="J5" s="2">
        <f>AVERAGE($D$2:$D$74)</f>
        <v>15.70491803278688</v>
      </c>
    </row>
    <row r="6" spans="1:10" x14ac:dyDescent="0.2">
      <c r="A6">
        <v>5</v>
      </c>
      <c r="B6">
        <v>0</v>
      </c>
      <c r="C6">
        <f t="shared" si="0"/>
        <v>735</v>
      </c>
      <c r="D6" s="2">
        <f t="shared" si="1"/>
        <v>15.704918032786885</v>
      </c>
      <c r="G6" s="3" t="s">
        <v>16</v>
      </c>
      <c r="H6">
        <f>I5+1</f>
        <v>804</v>
      </c>
      <c r="I6">
        <f>H6+72</f>
        <v>876</v>
      </c>
      <c r="J6" s="2">
        <f>AVERAGE($D$75:$D$147)</f>
        <v>15.70491803278688</v>
      </c>
    </row>
    <row r="7" spans="1:10" x14ac:dyDescent="0.2">
      <c r="A7">
        <v>6</v>
      </c>
      <c r="B7">
        <v>0</v>
      </c>
      <c r="C7">
        <f t="shared" si="0"/>
        <v>736</v>
      </c>
      <c r="D7" s="2">
        <f t="shared" si="1"/>
        <v>15.704918032786885</v>
      </c>
      <c r="G7" s="3" t="s">
        <v>8</v>
      </c>
      <c r="H7">
        <f>I6+1</f>
        <v>877</v>
      </c>
      <c r="I7">
        <f t="shared" ref="I7:I13" si="2">H7+72</f>
        <v>949</v>
      </c>
      <c r="J7" s="2">
        <f>AVERAGE($D$148:$D$220)</f>
        <v>15.70491803278688</v>
      </c>
    </row>
    <row r="8" spans="1:10" x14ac:dyDescent="0.2">
      <c r="A8">
        <v>7</v>
      </c>
      <c r="B8">
        <v>0</v>
      </c>
      <c r="C8">
        <f t="shared" si="0"/>
        <v>737</v>
      </c>
      <c r="D8" s="2">
        <f t="shared" si="1"/>
        <v>15.704918032786885</v>
      </c>
      <c r="G8" s="3" t="s">
        <v>17</v>
      </c>
      <c r="H8">
        <f t="shared" ref="H8:H15" si="3">I7+1</f>
        <v>950</v>
      </c>
      <c r="I8">
        <f t="shared" si="2"/>
        <v>1022</v>
      </c>
      <c r="J8" s="2">
        <f>AVERAGE($D$221:$D$293)</f>
        <v>15.70491803278688</v>
      </c>
    </row>
    <row r="9" spans="1:10" x14ac:dyDescent="0.2">
      <c r="A9">
        <v>8</v>
      </c>
      <c r="B9">
        <v>0</v>
      </c>
      <c r="C9">
        <f t="shared" si="0"/>
        <v>738</v>
      </c>
      <c r="D9" s="2">
        <f t="shared" si="1"/>
        <v>15.704918032786885</v>
      </c>
      <c r="G9" s="3" t="s">
        <v>21</v>
      </c>
      <c r="H9">
        <f t="shared" si="3"/>
        <v>1023</v>
      </c>
      <c r="I9">
        <f t="shared" si="2"/>
        <v>1095</v>
      </c>
      <c r="J9" s="2">
        <f>AVERAGE($D$294:$D$366)</f>
        <v>15.70491803278688</v>
      </c>
    </row>
    <row r="10" spans="1:10" x14ac:dyDescent="0.2">
      <c r="A10">
        <v>9</v>
      </c>
      <c r="B10">
        <v>0</v>
      </c>
      <c r="C10">
        <f t="shared" si="0"/>
        <v>739</v>
      </c>
      <c r="D10" s="2">
        <f t="shared" si="1"/>
        <v>15.704918032786885</v>
      </c>
      <c r="G10" s="4" t="s">
        <v>20</v>
      </c>
      <c r="H10">
        <f t="shared" si="3"/>
        <v>1096</v>
      </c>
      <c r="I10">
        <f t="shared" si="2"/>
        <v>1168</v>
      </c>
      <c r="J10" s="2">
        <f>AVERAGE($D$367:$D$439)</f>
        <v>15.70491803278688</v>
      </c>
    </row>
    <row r="11" spans="1:10" x14ac:dyDescent="0.2">
      <c r="A11">
        <v>10</v>
      </c>
      <c r="B11">
        <v>0</v>
      </c>
      <c r="C11">
        <f t="shared" si="0"/>
        <v>740</v>
      </c>
      <c r="D11" s="2">
        <f t="shared" si="1"/>
        <v>15.704918032786885</v>
      </c>
      <c r="G11" s="4" t="s">
        <v>16</v>
      </c>
      <c r="H11">
        <f t="shared" si="3"/>
        <v>1169</v>
      </c>
      <c r="I11">
        <f t="shared" si="2"/>
        <v>1241</v>
      </c>
      <c r="J11" s="2">
        <f>AVERAGE($D$440:$D$512)</f>
        <v>15.70491803278688</v>
      </c>
    </row>
    <row r="12" spans="1:10" x14ac:dyDescent="0.2">
      <c r="A12">
        <v>11</v>
      </c>
      <c r="B12">
        <v>0</v>
      </c>
      <c r="C12">
        <f t="shared" si="0"/>
        <v>741</v>
      </c>
      <c r="D12" s="2">
        <f t="shared" si="1"/>
        <v>15.704918032786885</v>
      </c>
      <c r="G12" s="4" t="s">
        <v>8</v>
      </c>
      <c r="H12">
        <f t="shared" si="3"/>
        <v>1242</v>
      </c>
      <c r="I12">
        <f t="shared" si="2"/>
        <v>1314</v>
      </c>
      <c r="J12" s="2">
        <f>AVERAGE($D$513:$D$585)</f>
        <v>15.70491803278688</v>
      </c>
    </row>
    <row r="13" spans="1:10" x14ac:dyDescent="0.2">
      <c r="A13">
        <v>12</v>
      </c>
      <c r="B13">
        <v>0</v>
      </c>
      <c r="C13">
        <f t="shared" si="0"/>
        <v>742</v>
      </c>
      <c r="D13" s="2">
        <f t="shared" si="1"/>
        <v>15.704918032786885</v>
      </c>
      <c r="G13" s="4" t="s">
        <v>17</v>
      </c>
      <c r="H13">
        <f t="shared" si="3"/>
        <v>1315</v>
      </c>
      <c r="I13">
        <f t="shared" si="2"/>
        <v>1387</v>
      </c>
      <c r="J13" s="2">
        <f>AVERAGE($D$586:$D$658)</f>
        <v>15.70491803278688</v>
      </c>
    </row>
    <row r="14" spans="1:10" x14ac:dyDescent="0.2">
      <c r="A14">
        <v>13</v>
      </c>
      <c r="B14">
        <v>0</v>
      </c>
      <c r="C14">
        <f t="shared" si="0"/>
        <v>743</v>
      </c>
      <c r="D14" s="2">
        <f t="shared" si="1"/>
        <v>15.704918032786885</v>
      </c>
      <c r="G14" s="4" t="s">
        <v>21</v>
      </c>
      <c r="H14">
        <f t="shared" si="3"/>
        <v>1388</v>
      </c>
      <c r="I14">
        <f>H14+41</f>
        <v>1429</v>
      </c>
      <c r="J14" s="2">
        <f>AVERAGE($D$659:$D$700)</f>
        <v>15.704918032786882</v>
      </c>
    </row>
    <row r="15" spans="1:10" x14ac:dyDescent="0.2">
      <c r="A15">
        <v>14</v>
      </c>
      <c r="B15">
        <v>0</v>
      </c>
      <c r="C15">
        <f t="shared" si="0"/>
        <v>744</v>
      </c>
      <c r="D15" s="2">
        <f t="shared" si="1"/>
        <v>15.704918032786885</v>
      </c>
      <c r="G15" s="6" t="s">
        <v>48</v>
      </c>
      <c r="H15">
        <f t="shared" si="3"/>
        <v>1430</v>
      </c>
      <c r="I15">
        <f>H15+30</f>
        <v>1460</v>
      </c>
      <c r="J15" s="2">
        <f>AVERAGE($E$701:$E$731)</f>
        <v>7.8524590163934418</v>
      </c>
    </row>
    <row r="16" spans="1:10" x14ac:dyDescent="0.2">
      <c r="A16">
        <v>15</v>
      </c>
      <c r="B16">
        <v>0</v>
      </c>
      <c r="C16">
        <f t="shared" si="0"/>
        <v>745</v>
      </c>
      <c r="D16" s="2">
        <f t="shared" si="1"/>
        <v>15.704918032786885</v>
      </c>
    </row>
    <row r="17" spans="1:4" x14ac:dyDescent="0.2">
      <c r="A17">
        <v>16</v>
      </c>
      <c r="B17">
        <v>0</v>
      </c>
      <c r="C17">
        <f t="shared" si="0"/>
        <v>746</v>
      </c>
      <c r="D17" s="2">
        <f t="shared" si="1"/>
        <v>15.704918032786885</v>
      </c>
    </row>
    <row r="18" spans="1:4" x14ac:dyDescent="0.2">
      <c r="A18">
        <v>17</v>
      </c>
      <c r="B18">
        <v>0</v>
      </c>
      <c r="C18">
        <f t="shared" si="0"/>
        <v>747</v>
      </c>
      <c r="D18" s="2">
        <f t="shared" si="1"/>
        <v>15.704918032786885</v>
      </c>
    </row>
    <row r="19" spans="1:4" x14ac:dyDescent="0.2">
      <c r="A19">
        <v>18</v>
      </c>
      <c r="B19">
        <v>0</v>
      </c>
      <c r="C19">
        <f t="shared" si="0"/>
        <v>748</v>
      </c>
      <c r="D19" s="2">
        <f t="shared" si="1"/>
        <v>15.704918032786885</v>
      </c>
    </row>
    <row r="20" spans="1:4" x14ac:dyDescent="0.2">
      <c r="A20">
        <v>19</v>
      </c>
      <c r="B20">
        <v>0</v>
      </c>
      <c r="C20">
        <f t="shared" si="0"/>
        <v>749</v>
      </c>
      <c r="D20" s="2">
        <f t="shared" si="1"/>
        <v>15.704918032786885</v>
      </c>
    </row>
    <row r="21" spans="1:4" x14ac:dyDescent="0.2">
      <c r="A21">
        <v>20</v>
      </c>
      <c r="B21">
        <v>0</v>
      </c>
      <c r="C21">
        <f t="shared" si="0"/>
        <v>750</v>
      </c>
      <c r="D21" s="2">
        <f t="shared" si="1"/>
        <v>15.704918032786885</v>
      </c>
    </row>
    <row r="22" spans="1:4" x14ac:dyDescent="0.2">
      <c r="A22">
        <v>21</v>
      </c>
      <c r="B22">
        <v>0</v>
      </c>
      <c r="C22">
        <f t="shared" si="0"/>
        <v>751</v>
      </c>
      <c r="D22" s="2">
        <f t="shared" si="1"/>
        <v>15.704918032786885</v>
      </c>
    </row>
    <row r="23" spans="1:4" x14ac:dyDescent="0.2">
      <c r="A23">
        <v>22</v>
      </c>
      <c r="B23">
        <v>0</v>
      </c>
      <c r="C23">
        <f t="shared" si="0"/>
        <v>752</v>
      </c>
      <c r="D23" s="2">
        <f t="shared" si="1"/>
        <v>15.704918032786885</v>
      </c>
    </row>
    <row r="24" spans="1:4" x14ac:dyDescent="0.2">
      <c r="A24">
        <v>23</v>
      </c>
      <c r="B24">
        <v>0</v>
      </c>
      <c r="C24">
        <f t="shared" si="0"/>
        <v>753</v>
      </c>
      <c r="D24" s="2">
        <f t="shared" si="1"/>
        <v>15.704918032786885</v>
      </c>
    </row>
    <row r="25" spans="1:4" x14ac:dyDescent="0.2">
      <c r="A25">
        <v>24</v>
      </c>
      <c r="B25">
        <v>0</v>
      </c>
      <c r="C25">
        <f t="shared" si="0"/>
        <v>754</v>
      </c>
      <c r="D25" s="2">
        <f t="shared" si="1"/>
        <v>15.704918032786885</v>
      </c>
    </row>
    <row r="26" spans="1:4" x14ac:dyDescent="0.2">
      <c r="A26">
        <v>25</v>
      </c>
      <c r="B26">
        <v>0</v>
      </c>
      <c r="C26">
        <f t="shared" si="0"/>
        <v>755</v>
      </c>
      <c r="D26" s="2">
        <f t="shared" si="1"/>
        <v>15.704918032786885</v>
      </c>
    </row>
    <row r="27" spans="1:4" x14ac:dyDescent="0.2">
      <c r="A27">
        <v>26</v>
      </c>
      <c r="B27">
        <v>0</v>
      </c>
      <c r="C27">
        <f t="shared" si="0"/>
        <v>756</v>
      </c>
      <c r="D27" s="2">
        <f t="shared" si="1"/>
        <v>15.704918032786885</v>
      </c>
    </row>
    <row r="28" spans="1:4" x14ac:dyDescent="0.2">
      <c r="A28">
        <v>27</v>
      </c>
      <c r="B28">
        <v>0</v>
      </c>
      <c r="C28">
        <f t="shared" si="0"/>
        <v>757</v>
      </c>
      <c r="D28" s="2">
        <f t="shared" si="1"/>
        <v>15.704918032786885</v>
      </c>
    </row>
    <row r="29" spans="1:4" x14ac:dyDescent="0.2">
      <c r="A29">
        <v>28</v>
      </c>
      <c r="B29">
        <v>0</v>
      </c>
      <c r="C29">
        <f t="shared" si="0"/>
        <v>758</v>
      </c>
      <c r="D29" s="2">
        <f t="shared" si="1"/>
        <v>15.704918032786885</v>
      </c>
    </row>
    <row r="30" spans="1:4" x14ac:dyDescent="0.2">
      <c r="A30">
        <v>29</v>
      </c>
      <c r="B30">
        <v>0</v>
      </c>
      <c r="C30">
        <f t="shared" si="0"/>
        <v>759</v>
      </c>
      <c r="D30" s="2">
        <f t="shared" si="1"/>
        <v>15.704918032786885</v>
      </c>
    </row>
    <row r="31" spans="1:4" x14ac:dyDescent="0.2">
      <c r="A31">
        <v>30</v>
      </c>
      <c r="B31">
        <v>0</v>
      </c>
      <c r="C31">
        <f t="shared" si="0"/>
        <v>760</v>
      </c>
      <c r="D31" s="2">
        <f t="shared" si="1"/>
        <v>15.704918032786885</v>
      </c>
    </row>
    <row r="32" spans="1:4" x14ac:dyDescent="0.2">
      <c r="A32">
        <v>31</v>
      </c>
      <c r="B32">
        <v>0</v>
      </c>
      <c r="C32">
        <f t="shared" si="0"/>
        <v>761</v>
      </c>
      <c r="D32" s="2">
        <f t="shared" si="1"/>
        <v>15.704918032786885</v>
      </c>
    </row>
    <row r="33" spans="1:4" x14ac:dyDescent="0.2">
      <c r="A33">
        <v>32</v>
      </c>
      <c r="B33">
        <v>0</v>
      </c>
      <c r="C33">
        <f t="shared" si="0"/>
        <v>762</v>
      </c>
      <c r="D33" s="2">
        <f t="shared" si="1"/>
        <v>15.704918032786885</v>
      </c>
    </row>
    <row r="34" spans="1:4" x14ac:dyDescent="0.2">
      <c r="A34">
        <v>33</v>
      </c>
      <c r="B34">
        <v>0</v>
      </c>
      <c r="C34">
        <f t="shared" si="0"/>
        <v>763</v>
      </c>
      <c r="D34" s="2">
        <f t="shared" si="1"/>
        <v>15.704918032786885</v>
      </c>
    </row>
    <row r="35" spans="1:4" x14ac:dyDescent="0.2">
      <c r="A35">
        <v>34</v>
      </c>
      <c r="B35">
        <v>0</v>
      </c>
      <c r="C35">
        <f t="shared" si="0"/>
        <v>764</v>
      </c>
      <c r="D35" s="2">
        <f t="shared" si="1"/>
        <v>15.704918032786885</v>
      </c>
    </row>
    <row r="36" spans="1:4" x14ac:dyDescent="0.2">
      <c r="A36">
        <v>35</v>
      </c>
      <c r="B36">
        <v>0</v>
      </c>
      <c r="C36">
        <f t="shared" si="0"/>
        <v>765</v>
      </c>
      <c r="D36" s="2">
        <f t="shared" si="1"/>
        <v>15.704918032786885</v>
      </c>
    </row>
    <row r="37" spans="1:4" x14ac:dyDescent="0.2">
      <c r="A37">
        <v>36</v>
      </c>
      <c r="B37">
        <v>0</v>
      </c>
      <c r="C37">
        <f t="shared" si="0"/>
        <v>766</v>
      </c>
      <c r="D37" s="2">
        <f t="shared" si="1"/>
        <v>15.704918032786885</v>
      </c>
    </row>
    <row r="38" spans="1:4" x14ac:dyDescent="0.2">
      <c r="A38">
        <v>37</v>
      </c>
      <c r="B38">
        <v>0</v>
      </c>
      <c r="C38">
        <f t="shared" si="0"/>
        <v>767</v>
      </c>
      <c r="D38" s="2">
        <f t="shared" si="1"/>
        <v>15.704918032786885</v>
      </c>
    </row>
    <row r="39" spans="1:4" x14ac:dyDescent="0.2">
      <c r="A39">
        <v>38</v>
      </c>
      <c r="B39">
        <v>0</v>
      </c>
      <c r="C39">
        <f t="shared" si="0"/>
        <v>768</v>
      </c>
      <c r="D39" s="2">
        <f t="shared" si="1"/>
        <v>15.704918032786885</v>
      </c>
    </row>
    <row r="40" spans="1:4" x14ac:dyDescent="0.2">
      <c r="A40">
        <v>39</v>
      </c>
      <c r="B40">
        <v>0</v>
      </c>
      <c r="C40">
        <f t="shared" si="0"/>
        <v>769</v>
      </c>
      <c r="D40" s="2">
        <f t="shared" si="1"/>
        <v>15.704918032786885</v>
      </c>
    </row>
    <row r="41" spans="1:4" x14ac:dyDescent="0.2">
      <c r="A41">
        <v>40</v>
      </c>
      <c r="B41">
        <v>0</v>
      </c>
      <c r="C41">
        <f t="shared" si="0"/>
        <v>770</v>
      </c>
      <c r="D41" s="2">
        <f t="shared" si="1"/>
        <v>15.704918032786885</v>
      </c>
    </row>
    <row r="42" spans="1:4" x14ac:dyDescent="0.2">
      <c r="A42">
        <v>41</v>
      </c>
      <c r="B42">
        <v>0</v>
      </c>
      <c r="C42">
        <f t="shared" si="0"/>
        <v>771</v>
      </c>
      <c r="D42" s="2">
        <f t="shared" si="1"/>
        <v>15.704918032786885</v>
      </c>
    </row>
    <row r="43" spans="1:4" x14ac:dyDescent="0.2">
      <c r="A43">
        <v>42</v>
      </c>
      <c r="B43">
        <v>0</v>
      </c>
      <c r="C43">
        <f t="shared" si="0"/>
        <v>772</v>
      </c>
      <c r="D43" s="2">
        <f t="shared" si="1"/>
        <v>15.704918032786885</v>
      </c>
    </row>
    <row r="44" spans="1:4" x14ac:dyDescent="0.2">
      <c r="A44">
        <v>43</v>
      </c>
      <c r="B44">
        <v>0</v>
      </c>
      <c r="C44">
        <f t="shared" si="0"/>
        <v>773</v>
      </c>
      <c r="D44" s="2">
        <f t="shared" si="1"/>
        <v>15.704918032786885</v>
      </c>
    </row>
    <row r="45" spans="1:4" x14ac:dyDescent="0.2">
      <c r="A45">
        <v>44</v>
      </c>
      <c r="B45">
        <v>0</v>
      </c>
      <c r="C45">
        <f t="shared" si="0"/>
        <v>774</v>
      </c>
      <c r="D45" s="2">
        <f t="shared" si="1"/>
        <v>15.704918032786885</v>
      </c>
    </row>
    <row r="46" spans="1:4" x14ac:dyDescent="0.2">
      <c r="A46">
        <v>45</v>
      </c>
      <c r="B46">
        <v>0</v>
      </c>
      <c r="C46">
        <f t="shared" si="0"/>
        <v>775</v>
      </c>
      <c r="D46" s="2">
        <f t="shared" si="1"/>
        <v>15.704918032786885</v>
      </c>
    </row>
    <row r="47" spans="1:4" x14ac:dyDescent="0.2">
      <c r="A47">
        <v>46</v>
      </c>
      <c r="B47">
        <v>0</v>
      </c>
      <c r="C47">
        <f t="shared" si="0"/>
        <v>776</v>
      </c>
      <c r="D47" s="2">
        <f t="shared" si="1"/>
        <v>15.704918032786885</v>
      </c>
    </row>
    <row r="48" spans="1:4" x14ac:dyDescent="0.2">
      <c r="A48">
        <v>47</v>
      </c>
      <c r="B48">
        <v>0</v>
      </c>
      <c r="C48">
        <f t="shared" si="0"/>
        <v>777</v>
      </c>
      <c r="D48" s="2">
        <f t="shared" si="1"/>
        <v>15.704918032786885</v>
      </c>
    </row>
    <row r="49" spans="1:4" x14ac:dyDescent="0.2">
      <c r="A49">
        <v>48</v>
      </c>
      <c r="B49">
        <v>0</v>
      </c>
      <c r="C49">
        <f t="shared" si="0"/>
        <v>778</v>
      </c>
      <c r="D49" s="2">
        <f t="shared" si="1"/>
        <v>15.704918032786885</v>
      </c>
    </row>
    <row r="50" spans="1:4" x14ac:dyDescent="0.2">
      <c r="A50">
        <v>49</v>
      </c>
      <c r="B50">
        <v>0</v>
      </c>
      <c r="C50">
        <f t="shared" si="0"/>
        <v>779</v>
      </c>
      <c r="D50" s="2">
        <f t="shared" si="1"/>
        <v>15.704918032786885</v>
      </c>
    </row>
    <row r="51" spans="1:4" x14ac:dyDescent="0.2">
      <c r="A51">
        <v>50</v>
      </c>
      <c r="B51">
        <v>0</v>
      </c>
      <c r="C51">
        <f t="shared" si="0"/>
        <v>780</v>
      </c>
      <c r="D51" s="2">
        <f t="shared" si="1"/>
        <v>15.704918032786885</v>
      </c>
    </row>
    <row r="52" spans="1:4" x14ac:dyDescent="0.2">
      <c r="A52">
        <v>51</v>
      </c>
      <c r="B52">
        <v>0</v>
      </c>
      <c r="C52">
        <f t="shared" si="0"/>
        <v>781</v>
      </c>
      <c r="D52" s="2">
        <f t="shared" si="1"/>
        <v>15.704918032786885</v>
      </c>
    </row>
    <row r="53" spans="1:4" x14ac:dyDescent="0.2">
      <c r="A53">
        <v>52</v>
      </c>
      <c r="B53">
        <v>0</v>
      </c>
      <c r="C53">
        <f t="shared" si="0"/>
        <v>782</v>
      </c>
      <c r="D53" s="2">
        <f t="shared" si="1"/>
        <v>15.704918032786885</v>
      </c>
    </row>
    <row r="54" spans="1:4" x14ac:dyDescent="0.2">
      <c r="A54">
        <v>53</v>
      </c>
      <c r="B54">
        <v>0</v>
      </c>
      <c r="C54">
        <f t="shared" si="0"/>
        <v>783</v>
      </c>
      <c r="D54" s="2">
        <f t="shared" si="1"/>
        <v>15.704918032786885</v>
      </c>
    </row>
    <row r="55" spans="1:4" x14ac:dyDescent="0.2">
      <c r="A55">
        <v>54</v>
      </c>
      <c r="B55">
        <v>0</v>
      </c>
      <c r="C55">
        <f t="shared" si="0"/>
        <v>784</v>
      </c>
      <c r="D55" s="2">
        <f t="shared" si="1"/>
        <v>15.704918032786885</v>
      </c>
    </row>
    <row r="56" spans="1:4" x14ac:dyDescent="0.2">
      <c r="A56">
        <v>55</v>
      </c>
      <c r="B56">
        <v>0</v>
      </c>
      <c r="C56">
        <f t="shared" si="0"/>
        <v>785</v>
      </c>
      <c r="D56" s="2">
        <f t="shared" si="1"/>
        <v>15.704918032786885</v>
      </c>
    </row>
    <row r="57" spans="1:4" x14ac:dyDescent="0.2">
      <c r="A57">
        <v>56</v>
      </c>
      <c r="B57">
        <v>0</v>
      </c>
      <c r="C57">
        <f t="shared" si="0"/>
        <v>786</v>
      </c>
      <c r="D57" s="2">
        <f t="shared" si="1"/>
        <v>15.704918032786885</v>
      </c>
    </row>
    <row r="58" spans="1:4" x14ac:dyDescent="0.2">
      <c r="A58">
        <v>57</v>
      </c>
      <c r="B58">
        <v>0</v>
      </c>
      <c r="C58">
        <f t="shared" si="0"/>
        <v>787</v>
      </c>
      <c r="D58" s="2">
        <f t="shared" si="1"/>
        <v>15.704918032786885</v>
      </c>
    </row>
    <row r="59" spans="1:4" x14ac:dyDescent="0.2">
      <c r="A59">
        <v>58</v>
      </c>
      <c r="B59">
        <v>0</v>
      </c>
      <c r="C59">
        <f t="shared" si="0"/>
        <v>788</v>
      </c>
      <c r="D59" s="2">
        <f t="shared" si="1"/>
        <v>15.704918032786885</v>
      </c>
    </row>
    <row r="60" spans="1:4" x14ac:dyDescent="0.2">
      <c r="A60">
        <v>59</v>
      </c>
      <c r="B60">
        <v>0</v>
      </c>
      <c r="C60">
        <f t="shared" si="0"/>
        <v>789</v>
      </c>
      <c r="D60" s="2">
        <f t="shared" si="1"/>
        <v>15.704918032786885</v>
      </c>
    </row>
    <row r="61" spans="1:4" x14ac:dyDescent="0.2">
      <c r="A61">
        <v>60</v>
      </c>
      <c r="B61">
        <v>0</v>
      </c>
      <c r="C61">
        <f t="shared" si="0"/>
        <v>790</v>
      </c>
      <c r="D61" s="2">
        <f t="shared" si="1"/>
        <v>15.704918032786885</v>
      </c>
    </row>
    <row r="62" spans="1:4" x14ac:dyDescent="0.2">
      <c r="A62">
        <v>61</v>
      </c>
      <c r="B62">
        <v>0</v>
      </c>
      <c r="C62">
        <f t="shared" si="0"/>
        <v>791</v>
      </c>
      <c r="D62" s="2">
        <f t="shared" si="1"/>
        <v>15.704918032786885</v>
      </c>
    </row>
    <row r="63" spans="1:4" x14ac:dyDescent="0.2">
      <c r="A63">
        <v>62</v>
      </c>
      <c r="B63">
        <v>0</v>
      </c>
      <c r="C63">
        <f t="shared" si="0"/>
        <v>792</v>
      </c>
      <c r="D63" s="2">
        <f t="shared" si="1"/>
        <v>15.704918032786885</v>
      </c>
    </row>
    <row r="64" spans="1:4" x14ac:dyDescent="0.2">
      <c r="A64">
        <v>63</v>
      </c>
      <c r="B64">
        <v>0</v>
      </c>
      <c r="C64">
        <f t="shared" si="0"/>
        <v>793</v>
      </c>
      <c r="D64" s="2">
        <f t="shared" si="1"/>
        <v>15.704918032786885</v>
      </c>
    </row>
    <row r="65" spans="1:4" x14ac:dyDescent="0.2">
      <c r="A65">
        <v>64</v>
      </c>
      <c r="B65">
        <v>0</v>
      </c>
      <c r="C65">
        <f t="shared" si="0"/>
        <v>794</v>
      </c>
      <c r="D65" s="2">
        <f t="shared" si="1"/>
        <v>15.704918032786885</v>
      </c>
    </row>
    <row r="66" spans="1:4" x14ac:dyDescent="0.2">
      <c r="A66">
        <v>65</v>
      </c>
      <c r="B66">
        <v>0</v>
      </c>
      <c r="C66">
        <f t="shared" si="0"/>
        <v>795</v>
      </c>
      <c r="D66" s="2">
        <f t="shared" si="1"/>
        <v>15.704918032786885</v>
      </c>
    </row>
    <row r="67" spans="1:4" x14ac:dyDescent="0.2">
      <c r="A67">
        <v>66</v>
      </c>
      <c r="B67">
        <v>0</v>
      </c>
      <c r="C67">
        <f t="shared" ref="C67:C130" si="4">A67+730</f>
        <v>796</v>
      </c>
      <c r="D67" s="2">
        <f t="shared" si="1"/>
        <v>15.704918032786885</v>
      </c>
    </row>
    <row r="68" spans="1:4" x14ac:dyDescent="0.2">
      <c r="A68">
        <v>67</v>
      </c>
      <c r="B68">
        <v>0</v>
      </c>
      <c r="C68">
        <f t="shared" si="4"/>
        <v>797</v>
      </c>
      <c r="D68" s="2">
        <f t="shared" ref="D68:D131" si="5">$D$2</f>
        <v>15.704918032786885</v>
      </c>
    </row>
    <row r="69" spans="1:4" x14ac:dyDescent="0.2">
      <c r="A69">
        <v>68</v>
      </c>
      <c r="B69">
        <v>0</v>
      </c>
      <c r="C69">
        <f t="shared" si="4"/>
        <v>798</v>
      </c>
      <c r="D69" s="2">
        <f t="shared" si="5"/>
        <v>15.704918032786885</v>
      </c>
    </row>
    <row r="70" spans="1:4" x14ac:dyDescent="0.2">
      <c r="A70">
        <v>69</v>
      </c>
      <c r="B70">
        <v>0</v>
      </c>
      <c r="C70">
        <f t="shared" si="4"/>
        <v>799</v>
      </c>
      <c r="D70" s="2">
        <f t="shared" si="5"/>
        <v>15.704918032786885</v>
      </c>
    </row>
    <row r="71" spans="1:4" x14ac:dyDescent="0.2">
      <c r="A71">
        <v>70</v>
      </c>
      <c r="B71">
        <v>0</v>
      </c>
      <c r="C71">
        <f t="shared" si="4"/>
        <v>800</v>
      </c>
      <c r="D71" s="2">
        <f t="shared" si="5"/>
        <v>15.704918032786885</v>
      </c>
    </row>
    <row r="72" spans="1:4" x14ac:dyDescent="0.2">
      <c r="A72">
        <v>71</v>
      </c>
      <c r="B72">
        <v>0</v>
      </c>
      <c r="C72">
        <f t="shared" si="4"/>
        <v>801</v>
      </c>
      <c r="D72" s="2">
        <f t="shared" si="5"/>
        <v>15.704918032786885</v>
      </c>
    </row>
    <row r="73" spans="1:4" x14ac:dyDescent="0.2">
      <c r="A73">
        <v>72</v>
      </c>
      <c r="B73">
        <v>0</v>
      </c>
      <c r="C73">
        <f t="shared" si="4"/>
        <v>802</v>
      </c>
      <c r="D73" s="2">
        <f t="shared" si="5"/>
        <v>15.704918032786885</v>
      </c>
    </row>
    <row r="74" spans="1:4" x14ac:dyDescent="0.2">
      <c r="A74">
        <v>73</v>
      </c>
      <c r="B74">
        <v>0</v>
      </c>
      <c r="C74">
        <f t="shared" si="4"/>
        <v>803</v>
      </c>
      <c r="D74" s="2">
        <f t="shared" si="5"/>
        <v>15.704918032786885</v>
      </c>
    </row>
    <row r="75" spans="1:4" x14ac:dyDescent="0.2">
      <c r="A75">
        <v>74</v>
      </c>
      <c r="B75">
        <v>0</v>
      </c>
      <c r="C75">
        <f t="shared" si="4"/>
        <v>804</v>
      </c>
      <c r="D75" s="2">
        <f t="shared" si="5"/>
        <v>15.704918032786885</v>
      </c>
    </row>
    <row r="76" spans="1:4" x14ac:dyDescent="0.2">
      <c r="A76">
        <v>75</v>
      </c>
      <c r="B76">
        <v>0</v>
      </c>
      <c r="C76">
        <f t="shared" si="4"/>
        <v>805</v>
      </c>
      <c r="D76" s="2">
        <f t="shared" si="5"/>
        <v>15.704918032786885</v>
      </c>
    </row>
    <row r="77" spans="1:4" x14ac:dyDescent="0.2">
      <c r="A77">
        <v>76</v>
      </c>
      <c r="B77">
        <v>0</v>
      </c>
      <c r="C77">
        <f t="shared" si="4"/>
        <v>806</v>
      </c>
      <c r="D77" s="2">
        <f t="shared" si="5"/>
        <v>15.704918032786885</v>
      </c>
    </row>
    <row r="78" spans="1:4" x14ac:dyDescent="0.2">
      <c r="A78">
        <v>77</v>
      </c>
      <c r="B78">
        <v>0</v>
      </c>
      <c r="C78">
        <f t="shared" si="4"/>
        <v>807</v>
      </c>
      <c r="D78" s="2">
        <f t="shared" si="5"/>
        <v>15.704918032786885</v>
      </c>
    </row>
    <row r="79" spans="1:4" x14ac:dyDescent="0.2">
      <c r="A79">
        <v>78</v>
      </c>
      <c r="B79">
        <v>0</v>
      </c>
      <c r="C79">
        <f t="shared" si="4"/>
        <v>808</v>
      </c>
      <c r="D79" s="2">
        <f t="shared" si="5"/>
        <v>15.704918032786885</v>
      </c>
    </row>
    <row r="80" spans="1:4" x14ac:dyDescent="0.2">
      <c r="A80">
        <v>79</v>
      </c>
      <c r="B80">
        <v>0</v>
      </c>
      <c r="C80">
        <f t="shared" si="4"/>
        <v>809</v>
      </c>
      <c r="D80" s="2">
        <f t="shared" si="5"/>
        <v>15.704918032786885</v>
      </c>
    </row>
    <row r="81" spans="1:4" x14ac:dyDescent="0.2">
      <c r="A81">
        <v>80</v>
      </c>
      <c r="B81">
        <v>0</v>
      </c>
      <c r="C81">
        <f t="shared" si="4"/>
        <v>810</v>
      </c>
      <c r="D81" s="2">
        <f t="shared" si="5"/>
        <v>15.704918032786885</v>
      </c>
    </row>
    <row r="82" spans="1:4" x14ac:dyDescent="0.2">
      <c r="A82">
        <v>81</v>
      </c>
      <c r="B82">
        <v>0</v>
      </c>
      <c r="C82">
        <f t="shared" si="4"/>
        <v>811</v>
      </c>
      <c r="D82" s="2">
        <f t="shared" si="5"/>
        <v>15.704918032786885</v>
      </c>
    </row>
    <row r="83" spans="1:4" x14ac:dyDescent="0.2">
      <c r="A83">
        <v>82</v>
      </c>
      <c r="B83">
        <v>0</v>
      </c>
      <c r="C83">
        <f t="shared" si="4"/>
        <v>812</v>
      </c>
      <c r="D83" s="2">
        <f t="shared" si="5"/>
        <v>15.704918032786885</v>
      </c>
    </row>
    <row r="84" spans="1:4" x14ac:dyDescent="0.2">
      <c r="A84">
        <v>83</v>
      </c>
      <c r="B84">
        <v>0</v>
      </c>
      <c r="C84">
        <f t="shared" si="4"/>
        <v>813</v>
      </c>
      <c r="D84" s="2">
        <f t="shared" si="5"/>
        <v>15.704918032786885</v>
      </c>
    </row>
    <row r="85" spans="1:4" x14ac:dyDescent="0.2">
      <c r="A85">
        <v>84</v>
      </c>
      <c r="B85">
        <v>0</v>
      </c>
      <c r="C85">
        <f t="shared" si="4"/>
        <v>814</v>
      </c>
      <c r="D85" s="2">
        <f t="shared" si="5"/>
        <v>15.704918032786885</v>
      </c>
    </row>
    <row r="86" spans="1:4" x14ac:dyDescent="0.2">
      <c r="A86">
        <v>85</v>
      </c>
      <c r="B86">
        <v>0</v>
      </c>
      <c r="C86">
        <f t="shared" si="4"/>
        <v>815</v>
      </c>
      <c r="D86" s="2">
        <f t="shared" si="5"/>
        <v>15.704918032786885</v>
      </c>
    </row>
    <row r="87" spans="1:4" x14ac:dyDescent="0.2">
      <c r="A87">
        <v>86</v>
      </c>
      <c r="B87">
        <v>0</v>
      </c>
      <c r="C87">
        <f t="shared" si="4"/>
        <v>816</v>
      </c>
      <c r="D87" s="2">
        <f t="shared" si="5"/>
        <v>15.704918032786885</v>
      </c>
    </row>
    <row r="88" spans="1:4" x14ac:dyDescent="0.2">
      <c r="A88">
        <v>87</v>
      </c>
      <c r="B88">
        <v>0</v>
      </c>
      <c r="C88">
        <f t="shared" si="4"/>
        <v>817</v>
      </c>
      <c r="D88" s="2">
        <f t="shared" si="5"/>
        <v>15.704918032786885</v>
      </c>
    </row>
    <row r="89" spans="1:4" x14ac:dyDescent="0.2">
      <c r="A89">
        <v>88</v>
      </c>
      <c r="B89">
        <v>0</v>
      </c>
      <c r="C89">
        <f t="shared" si="4"/>
        <v>818</v>
      </c>
      <c r="D89" s="2">
        <f t="shared" si="5"/>
        <v>15.704918032786885</v>
      </c>
    </row>
    <row r="90" spans="1:4" x14ac:dyDescent="0.2">
      <c r="A90">
        <v>89</v>
      </c>
      <c r="B90">
        <v>0</v>
      </c>
      <c r="C90">
        <f t="shared" si="4"/>
        <v>819</v>
      </c>
      <c r="D90" s="2">
        <f t="shared" si="5"/>
        <v>15.704918032786885</v>
      </c>
    </row>
    <row r="91" spans="1:4" x14ac:dyDescent="0.2">
      <c r="A91">
        <v>90</v>
      </c>
      <c r="B91">
        <v>0</v>
      </c>
      <c r="C91">
        <f t="shared" si="4"/>
        <v>820</v>
      </c>
      <c r="D91" s="2">
        <f t="shared" si="5"/>
        <v>15.704918032786885</v>
      </c>
    </row>
    <row r="92" spans="1:4" x14ac:dyDescent="0.2">
      <c r="A92">
        <v>91</v>
      </c>
      <c r="B92">
        <v>0</v>
      </c>
      <c r="C92">
        <f t="shared" si="4"/>
        <v>821</v>
      </c>
      <c r="D92" s="2">
        <f t="shared" si="5"/>
        <v>15.704918032786885</v>
      </c>
    </row>
    <row r="93" spans="1:4" x14ac:dyDescent="0.2">
      <c r="A93">
        <v>92</v>
      </c>
      <c r="B93">
        <v>0</v>
      </c>
      <c r="C93">
        <f t="shared" si="4"/>
        <v>822</v>
      </c>
      <c r="D93" s="2">
        <f t="shared" si="5"/>
        <v>15.704918032786885</v>
      </c>
    </row>
    <row r="94" spans="1:4" x14ac:dyDescent="0.2">
      <c r="A94">
        <v>93</v>
      </c>
      <c r="B94">
        <v>0</v>
      </c>
      <c r="C94">
        <f t="shared" si="4"/>
        <v>823</v>
      </c>
      <c r="D94" s="2">
        <f t="shared" si="5"/>
        <v>15.704918032786885</v>
      </c>
    </row>
    <row r="95" spans="1:4" x14ac:dyDescent="0.2">
      <c r="A95">
        <v>94</v>
      </c>
      <c r="B95">
        <v>0</v>
      </c>
      <c r="C95">
        <f t="shared" si="4"/>
        <v>824</v>
      </c>
      <c r="D95" s="2">
        <f t="shared" si="5"/>
        <v>15.704918032786885</v>
      </c>
    </row>
    <row r="96" spans="1:4" x14ac:dyDescent="0.2">
      <c r="A96">
        <v>95</v>
      </c>
      <c r="B96">
        <v>0</v>
      </c>
      <c r="C96">
        <f t="shared" si="4"/>
        <v>825</v>
      </c>
      <c r="D96" s="2">
        <f t="shared" si="5"/>
        <v>15.704918032786885</v>
      </c>
    </row>
    <row r="97" spans="1:4" x14ac:dyDescent="0.2">
      <c r="A97">
        <v>96</v>
      </c>
      <c r="B97">
        <v>0</v>
      </c>
      <c r="C97">
        <f t="shared" si="4"/>
        <v>826</v>
      </c>
      <c r="D97" s="2">
        <f t="shared" si="5"/>
        <v>15.704918032786885</v>
      </c>
    </row>
    <row r="98" spans="1:4" x14ac:dyDescent="0.2">
      <c r="A98">
        <v>97</v>
      </c>
      <c r="B98">
        <v>0</v>
      </c>
      <c r="C98">
        <f t="shared" si="4"/>
        <v>827</v>
      </c>
      <c r="D98" s="2">
        <f t="shared" si="5"/>
        <v>15.704918032786885</v>
      </c>
    </row>
    <row r="99" spans="1:4" x14ac:dyDescent="0.2">
      <c r="A99">
        <v>98</v>
      </c>
      <c r="B99">
        <v>0</v>
      </c>
      <c r="C99">
        <f t="shared" si="4"/>
        <v>828</v>
      </c>
      <c r="D99" s="2">
        <f t="shared" si="5"/>
        <v>15.704918032786885</v>
      </c>
    </row>
    <row r="100" spans="1:4" x14ac:dyDescent="0.2">
      <c r="A100">
        <v>99</v>
      </c>
      <c r="B100">
        <v>0</v>
      </c>
      <c r="C100">
        <f t="shared" si="4"/>
        <v>829</v>
      </c>
      <c r="D100" s="2">
        <f t="shared" si="5"/>
        <v>15.704918032786885</v>
      </c>
    </row>
    <row r="101" spans="1:4" x14ac:dyDescent="0.2">
      <c r="A101">
        <v>100</v>
      </c>
      <c r="B101">
        <v>0</v>
      </c>
      <c r="C101">
        <f t="shared" si="4"/>
        <v>830</v>
      </c>
      <c r="D101" s="2">
        <f t="shared" si="5"/>
        <v>15.704918032786885</v>
      </c>
    </row>
    <row r="102" spans="1:4" x14ac:dyDescent="0.2">
      <c r="A102">
        <v>101</v>
      </c>
      <c r="B102">
        <v>0</v>
      </c>
      <c r="C102">
        <f t="shared" si="4"/>
        <v>831</v>
      </c>
      <c r="D102" s="2">
        <f t="shared" si="5"/>
        <v>15.704918032786885</v>
      </c>
    </row>
    <row r="103" spans="1:4" x14ac:dyDescent="0.2">
      <c r="A103">
        <v>102</v>
      </c>
      <c r="B103">
        <v>0</v>
      </c>
      <c r="C103">
        <f t="shared" si="4"/>
        <v>832</v>
      </c>
      <c r="D103" s="2">
        <f t="shared" si="5"/>
        <v>15.704918032786885</v>
      </c>
    </row>
    <row r="104" spans="1:4" x14ac:dyDescent="0.2">
      <c r="A104">
        <v>103</v>
      </c>
      <c r="B104">
        <v>0</v>
      </c>
      <c r="C104">
        <f t="shared" si="4"/>
        <v>833</v>
      </c>
      <c r="D104" s="2">
        <f t="shared" si="5"/>
        <v>15.704918032786885</v>
      </c>
    </row>
    <row r="105" spans="1:4" x14ac:dyDescent="0.2">
      <c r="A105">
        <v>104</v>
      </c>
      <c r="B105">
        <v>0</v>
      </c>
      <c r="C105">
        <f t="shared" si="4"/>
        <v>834</v>
      </c>
      <c r="D105" s="2">
        <f t="shared" si="5"/>
        <v>15.704918032786885</v>
      </c>
    </row>
    <row r="106" spans="1:4" x14ac:dyDescent="0.2">
      <c r="A106">
        <v>105</v>
      </c>
      <c r="B106">
        <v>0</v>
      </c>
      <c r="C106">
        <f t="shared" si="4"/>
        <v>835</v>
      </c>
      <c r="D106" s="2">
        <f t="shared" si="5"/>
        <v>15.704918032786885</v>
      </c>
    </row>
    <row r="107" spans="1:4" x14ac:dyDescent="0.2">
      <c r="A107">
        <v>106</v>
      </c>
      <c r="B107">
        <v>0</v>
      </c>
      <c r="C107">
        <f t="shared" si="4"/>
        <v>836</v>
      </c>
      <c r="D107" s="2">
        <f t="shared" si="5"/>
        <v>15.704918032786885</v>
      </c>
    </row>
    <row r="108" spans="1:4" x14ac:dyDescent="0.2">
      <c r="A108">
        <v>107</v>
      </c>
      <c r="B108">
        <v>0</v>
      </c>
      <c r="C108">
        <f t="shared" si="4"/>
        <v>837</v>
      </c>
      <c r="D108" s="2">
        <f t="shared" si="5"/>
        <v>15.704918032786885</v>
      </c>
    </row>
    <row r="109" spans="1:4" x14ac:dyDescent="0.2">
      <c r="A109">
        <v>108</v>
      </c>
      <c r="B109">
        <v>0</v>
      </c>
      <c r="C109">
        <f t="shared" si="4"/>
        <v>838</v>
      </c>
      <c r="D109" s="2">
        <f t="shared" si="5"/>
        <v>15.704918032786885</v>
      </c>
    </row>
    <row r="110" spans="1:4" x14ac:dyDescent="0.2">
      <c r="A110">
        <v>109</v>
      </c>
      <c r="B110">
        <v>0</v>
      </c>
      <c r="C110">
        <f t="shared" si="4"/>
        <v>839</v>
      </c>
      <c r="D110" s="2">
        <f t="shared" si="5"/>
        <v>15.704918032786885</v>
      </c>
    </row>
    <row r="111" spans="1:4" x14ac:dyDescent="0.2">
      <c r="A111">
        <v>110</v>
      </c>
      <c r="B111">
        <v>0</v>
      </c>
      <c r="C111">
        <f t="shared" si="4"/>
        <v>840</v>
      </c>
      <c r="D111" s="2">
        <f t="shared" si="5"/>
        <v>15.704918032786885</v>
      </c>
    </row>
    <row r="112" spans="1:4" x14ac:dyDescent="0.2">
      <c r="A112">
        <v>111</v>
      </c>
      <c r="B112">
        <v>0</v>
      </c>
      <c r="C112">
        <f t="shared" si="4"/>
        <v>841</v>
      </c>
      <c r="D112" s="2">
        <f t="shared" si="5"/>
        <v>15.704918032786885</v>
      </c>
    </row>
    <row r="113" spans="1:4" x14ac:dyDescent="0.2">
      <c r="A113">
        <v>112</v>
      </c>
      <c r="B113">
        <v>0</v>
      </c>
      <c r="C113">
        <f t="shared" si="4"/>
        <v>842</v>
      </c>
      <c r="D113" s="2">
        <f t="shared" si="5"/>
        <v>15.704918032786885</v>
      </c>
    </row>
    <row r="114" spans="1:4" x14ac:dyDescent="0.2">
      <c r="A114">
        <v>113</v>
      </c>
      <c r="B114">
        <v>0</v>
      </c>
      <c r="C114">
        <f t="shared" si="4"/>
        <v>843</v>
      </c>
      <c r="D114" s="2">
        <f t="shared" si="5"/>
        <v>15.704918032786885</v>
      </c>
    </row>
    <row r="115" spans="1:4" x14ac:dyDescent="0.2">
      <c r="A115">
        <v>114</v>
      </c>
      <c r="B115">
        <v>0</v>
      </c>
      <c r="C115">
        <f t="shared" si="4"/>
        <v>844</v>
      </c>
      <c r="D115" s="2">
        <f t="shared" si="5"/>
        <v>15.704918032786885</v>
      </c>
    </row>
    <row r="116" spans="1:4" x14ac:dyDescent="0.2">
      <c r="A116">
        <v>115</v>
      </c>
      <c r="B116">
        <v>0</v>
      </c>
      <c r="C116">
        <f t="shared" si="4"/>
        <v>845</v>
      </c>
      <c r="D116" s="2">
        <f t="shared" si="5"/>
        <v>15.704918032786885</v>
      </c>
    </row>
    <row r="117" spans="1:4" x14ac:dyDescent="0.2">
      <c r="A117">
        <v>116</v>
      </c>
      <c r="B117">
        <v>0</v>
      </c>
      <c r="C117">
        <f t="shared" si="4"/>
        <v>846</v>
      </c>
      <c r="D117" s="2">
        <f t="shared" si="5"/>
        <v>15.704918032786885</v>
      </c>
    </row>
    <row r="118" spans="1:4" x14ac:dyDescent="0.2">
      <c r="A118">
        <v>117</v>
      </c>
      <c r="B118">
        <v>0</v>
      </c>
      <c r="C118">
        <f t="shared" si="4"/>
        <v>847</v>
      </c>
      <c r="D118" s="2">
        <f t="shared" si="5"/>
        <v>15.704918032786885</v>
      </c>
    </row>
    <row r="119" spans="1:4" x14ac:dyDescent="0.2">
      <c r="A119">
        <v>118</v>
      </c>
      <c r="B119">
        <v>0</v>
      </c>
      <c r="C119">
        <f t="shared" si="4"/>
        <v>848</v>
      </c>
      <c r="D119" s="2">
        <f t="shared" si="5"/>
        <v>15.704918032786885</v>
      </c>
    </row>
    <row r="120" spans="1:4" x14ac:dyDescent="0.2">
      <c r="A120">
        <v>119</v>
      </c>
      <c r="B120">
        <v>0</v>
      </c>
      <c r="C120">
        <f t="shared" si="4"/>
        <v>849</v>
      </c>
      <c r="D120" s="2">
        <f t="shared" si="5"/>
        <v>15.704918032786885</v>
      </c>
    </row>
    <row r="121" spans="1:4" x14ac:dyDescent="0.2">
      <c r="A121">
        <v>120</v>
      </c>
      <c r="B121">
        <v>0</v>
      </c>
      <c r="C121">
        <f t="shared" si="4"/>
        <v>850</v>
      </c>
      <c r="D121" s="2">
        <f t="shared" si="5"/>
        <v>15.704918032786885</v>
      </c>
    </row>
    <row r="122" spans="1:4" x14ac:dyDescent="0.2">
      <c r="A122">
        <v>121</v>
      </c>
      <c r="B122">
        <v>0</v>
      </c>
      <c r="C122">
        <f t="shared" si="4"/>
        <v>851</v>
      </c>
      <c r="D122" s="2">
        <f t="shared" si="5"/>
        <v>15.704918032786885</v>
      </c>
    </row>
    <row r="123" spans="1:4" x14ac:dyDescent="0.2">
      <c r="A123">
        <v>122</v>
      </c>
      <c r="B123">
        <v>0</v>
      </c>
      <c r="C123">
        <f t="shared" si="4"/>
        <v>852</v>
      </c>
      <c r="D123" s="2">
        <f t="shared" si="5"/>
        <v>15.704918032786885</v>
      </c>
    </row>
    <row r="124" spans="1:4" x14ac:dyDescent="0.2">
      <c r="A124">
        <v>123</v>
      </c>
      <c r="B124">
        <v>0</v>
      </c>
      <c r="C124">
        <f t="shared" si="4"/>
        <v>853</v>
      </c>
      <c r="D124" s="2">
        <f t="shared" si="5"/>
        <v>15.704918032786885</v>
      </c>
    </row>
    <row r="125" spans="1:4" x14ac:dyDescent="0.2">
      <c r="A125">
        <v>124</v>
      </c>
      <c r="B125">
        <v>0</v>
      </c>
      <c r="C125">
        <f t="shared" si="4"/>
        <v>854</v>
      </c>
      <c r="D125" s="2">
        <f t="shared" si="5"/>
        <v>15.704918032786885</v>
      </c>
    </row>
    <row r="126" spans="1:4" x14ac:dyDescent="0.2">
      <c r="A126">
        <v>125</v>
      </c>
      <c r="B126">
        <v>0</v>
      </c>
      <c r="C126">
        <f t="shared" si="4"/>
        <v>855</v>
      </c>
      <c r="D126" s="2">
        <f t="shared" si="5"/>
        <v>15.704918032786885</v>
      </c>
    </row>
    <row r="127" spans="1:4" x14ac:dyDescent="0.2">
      <c r="A127">
        <v>126</v>
      </c>
      <c r="B127">
        <v>0</v>
      </c>
      <c r="C127">
        <f t="shared" si="4"/>
        <v>856</v>
      </c>
      <c r="D127" s="2">
        <f t="shared" si="5"/>
        <v>15.704918032786885</v>
      </c>
    </row>
    <row r="128" spans="1:4" x14ac:dyDescent="0.2">
      <c r="A128">
        <v>127</v>
      </c>
      <c r="B128">
        <v>0</v>
      </c>
      <c r="C128">
        <f t="shared" si="4"/>
        <v>857</v>
      </c>
      <c r="D128" s="2">
        <f t="shared" si="5"/>
        <v>15.704918032786885</v>
      </c>
    </row>
    <row r="129" spans="1:4" x14ac:dyDescent="0.2">
      <c r="A129">
        <v>128</v>
      </c>
      <c r="B129">
        <v>0</v>
      </c>
      <c r="C129">
        <f t="shared" si="4"/>
        <v>858</v>
      </c>
      <c r="D129" s="2">
        <f t="shared" si="5"/>
        <v>15.704918032786885</v>
      </c>
    </row>
    <row r="130" spans="1:4" x14ac:dyDescent="0.2">
      <c r="A130">
        <v>129</v>
      </c>
      <c r="B130">
        <v>0</v>
      </c>
      <c r="C130">
        <f t="shared" si="4"/>
        <v>859</v>
      </c>
      <c r="D130" s="2">
        <f t="shared" si="5"/>
        <v>15.704918032786885</v>
      </c>
    </row>
    <row r="131" spans="1:4" x14ac:dyDescent="0.2">
      <c r="A131">
        <v>130</v>
      </c>
      <c r="B131">
        <v>0</v>
      </c>
      <c r="C131">
        <f t="shared" ref="C131:C194" si="6">A131+730</f>
        <v>860</v>
      </c>
      <c r="D131" s="2">
        <f t="shared" si="5"/>
        <v>15.704918032786885</v>
      </c>
    </row>
    <row r="132" spans="1:4" x14ac:dyDescent="0.2">
      <c r="A132">
        <v>131</v>
      </c>
      <c r="B132">
        <v>0</v>
      </c>
      <c r="C132">
        <f t="shared" si="6"/>
        <v>861</v>
      </c>
      <c r="D132" s="2">
        <f t="shared" ref="D132:D195" si="7">$D$2</f>
        <v>15.704918032786885</v>
      </c>
    </row>
    <row r="133" spans="1:4" x14ac:dyDescent="0.2">
      <c r="A133">
        <v>132</v>
      </c>
      <c r="B133">
        <v>0</v>
      </c>
      <c r="C133">
        <f t="shared" si="6"/>
        <v>862</v>
      </c>
      <c r="D133" s="2">
        <f t="shared" si="7"/>
        <v>15.704918032786885</v>
      </c>
    </row>
    <row r="134" spans="1:4" x14ac:dyDescent="0.2">
      <c r="A134">
        <v>133</v>
      </c>
      <c r="B134">
        <v>0</v>
      </c>
      <c r="C134">
        <f t="shared" si="6"/>
        <v>863</v>
      </c>
      <c r="D134" s="2">
        <f t="shared" si="7"/>
        <v>15.704918032786885</v>
      </c>
    </row>
    <row r="135" spans="1:4" x14ac:dyDescent="0.2">
      <c r="A135">
        <v>134</v>
      </c>
      <c r="B135">
        <v>0</v>
      </c>
      <c r="C135">
        <f t="shared" si="6"/>
        <v>864</v>
      </c>
      <c r="D135" s="2">
        <f t="shared" si="7"/>
        <v>15.704918032786885</v>
      </c>
    </row>
    <row r="136" spans="1:4" x14ac:dyDescent="0.2">
      <c r="A136">
        <v>135</v>
      </c>
      <c r="B136">
        <v>0</v>
      </c>
      <c r="C136">
        <f t="shared" si="6"/>
        <v>865</v>
      </c>
      <c r="D136" s="2">
        <f t="shared" si="7"/>
        <v>15.704918032786885</v>
      </c>
    </row>
    <row r="137" spans="1:4" x14ac:dyDescent="0.2">
      <c r="A137">
        <v>136</v>
      </c>
      <c r="B137">
        <v>0</v>
      </c>
      <c r="C137">
        <f t="shared" si="6"/>
        <v>866</v>
      </c>
      <c r="D137" s="2">
        <f t="shared" si="7"/>
        <v>15.704918032786885</v>
      </c>
    </row>
    <row r="138" spans="1:4" x14ac:dyDescent="0.2">
      <c r="A138">
        <v>137</v>
      </c>
      <c r="B138">
        <v>0</v>
      </c>
      <c r="C138">
        <f t="shared" si="6"/>
        <v>867</v>
      </c>
      <c r="D138" s="2">
        <f t="shared" si="7"/>
        <v>15.704918032786885</v>
      </c>
    </row>
    <row r="139" spans="1:4" x14ac:dyDescent="0.2">
      <c r="A139">
        <v>138</v>
      </c>
      <c r="B139">
        <v>0</v>
      </c>
      <c r="C139">
        <f t="shared" si="6"/>
        <v>868</v>
      </c>
      <c r="D139" s="2">
        <f t="shared" si="7"/>
        <v>15.704918032786885</v>
      </c>
    </row>
    <row r="140" spans="1:4" x14ac:dyDescent="0.2">
      <c r="A140">
        <v>139</v>
      </c>
      <c r="B140">
        <v>0</v>
      </c>
      <c r="C140">
        <f t="shared" si="6"/>
        <v>869</v>
      </c>
      <c r="D140" s="2">
        <f t="shared" si="7"/>
        <v>15.704918032786885</v>
      </c>
    </row>
    <row r="141" spans="1:4" x14ac:dyDescent="0.2">
      <c r="A141">
        <v>140</v>
      </c>
      <c r="B141">
        <v>0</v>
      </c>
      <c r="C141">
        <f t="shared" si="6"/>
        <v>870</v>
      </c>
      <c r="D141" s="2">
        <f t="shared" si="7"/>
        <v>15.704918032786885</v>
      </c>
    </row>
    <row r="142" spans="1:4" x14ac:dyDescent="0.2">
      <c r="A142">
        <v>141</v>
      </c>
      <c r="B142">
        <v>0</v>
      </c>
      <c r="C142">
        <f t="shared" si="6"/>
        <v>871</v>
      </c>
      <c r="D142" s="2">
        <f t="shared" si="7"/>
        <v>15.704918032786885</v>
      </c>
    </row>
    <row r="143" spans="1:4" x14ac:dyDescent="0.2">
      <c r="A143">
        <v>142</v>
      </c>
      <c r="B143">
        <v>0</v>
      </c>
      <c r="C143">
        <f t="shared" si="6"/>
        <v>872</v>
      </c>
      <c r="D143" s="2">
        <f t="shared" si="7"/>
        <v>15.704918032786885</v>
      </c>
    </row>
    <row r="144" spans="1:4" x14ac:dyDescent="0.2">
      <c r="A144">
        <v>143</v>
      </c>
      <c r="B144">
        <v>0</v>
      </c>
      <c r="C144">
        <f t="shared" si="6"/>
        <v>873</v>
      </c>
      <c r="D144" s="2">
        <f t="shared" si="7"/>
        <v>15.704918032786885</v>
      </c>
    </row>
    <row r="145" spans="1:4" x14ac:dyDescent="0.2">
      <c r="A145">
        <v>144</v>
      </c>
      <c r="B145">
        <v>0</v>
      </c>
      <c r="C145">
        <f t="shared" si="6"/>
        <v>874</v>
      </c>
      <c r="D145" s="2">
        <f t="shared" si="7"/>
        <v>15.704918032786885</v>
      </c>
    </row>
    <row r="146" spans="1:4" x14ac:dyDescent="0.2">
      <c r="A146">
        <v>145</v>
      </c>
      <c r="B146">
        <v>0</v>
      </c>
      <c r="C146">
        <f t="shared" si="6"/>
        <v>875</v>
      </c>
      <c r="D146" s="2">
        <f t="shared" si="7"/>
        <v>15.704918032786885</v>
      </c>
    </row>
    <row r="147" spans="1:4" x14ac:dyDescent="0.2">
      <c r="A147">
        <v>146</v>
      </c>
      <c r="B147">
        <v>0</v>
      </c>
      <c r="C147">
        <f t="shared" si="6"/>
        <v>876</v>
      </c>
      <c r="D147" s="2">
        <f t="shared" si="7"/>
        <v>15.704918032786885</v>
      </c>
    </row>
    <row r="148" spans="1:4" x14ac:dyDescent="0.2">
      <c r="A148">
        <v>147</v>
      </c>
      <c r="B148">
        <v>0</v>
      </c>
      <c r="C148">
        <f t="shared" si="6"/>
        <v>877</v>
      </c>
      <c r="D148" s="2">
        <f t="shared" si="7"/>
        <v>15.704918032786885</v>
      </c>
    </row>
    <row r="149" spans="1:4" x14ac:dyDescent="0.2">
      <c r="A149">
        <v>148</v>
      </c>
      <c r="B149">
        <v>0</v>
      </c>
      <c r="C149">
        <f t="shared" si="6"/>
        <v>878</v>
      </c>
      <c r="D149" s="2">
        <f t="shared" si="7"/>
        <v>15.704918032786885</v>
      </c>
    </row>
    <row r="150" spans="1:4" x14ac:dyDescent="0.2">
      <c r="A150">
        <v>149</v>
      </c>
      <c r="B150">
        <v>0</v>
      </c>
      <c r="C150">
        <f t="shared" si="6"/>
        <v>879</v>
      </c>
      <c r="D150" s="2">
        <f t="shared" si="7"/>
        <v>15.704918032786885</v>
      </c>
    </row>
    <row r="151" spans="1:4" x14ac:dyDescent="0.2">
      <c r="A151">
        <v>150</v>
      </c>
      <c r="B151">
        <v>0</v>
      </c>
      <c r="C151">
        <f t="shared" si="6"/>
        <v>880</v>
      </c>
      <c r="D151" s="2">
        <f t="shared" si="7"/>
        <v>15.704918032786885</v>
      </c>
    </row>
    <row r="152" spans="1:4" x14ac:dyDescent="0.2">
      <c r="A152">
        <v>151</v>
      </c>
      <c r="B152">
        <v>0</v>
      </c>
      <c r="C152">
        <f t="shared" si="6"/>
        <v>881</v>
      </c>
      <c r="D152" s="2">
        <f t="shared" si="7"/>
        <v>15.704918032786885</v>
      </c>
    </row>
    <row r="153" spans="1:4" x14ac:dyDescent="0.2">
      <c r="A153">
        <v>152</v>
      </c>
      <c r="B153">
        <v>0</v>
      </c>
      <c r="C153">
        <f t="shared" si="6"/>
        <v>882</v>
      </c>
      <c r="D153" s="2">
        <f t="shared" si="7"/>
        <v>15.704918032786885</v>
      </c>
    </row>
    <row r="154" spans="1:4" x14ac:dyDescent="0.2">
      <c r="A154">
        <v>153</v>
      </c>
      <c r="B154">
        <v>0</v>
      </c>
      <c r="C154">
        <f t="shared" si="6"/>
        <v>883</v>
      </c>
      <c r="D154" s="2">
        <f t="shared" si="7"/>
        <v>15.704918032786885</v>
      </c>
    </row>
    <row r="155" spans="1:4" x14ac:dyDescent="0.2">
      <c r="A155">
        <v>154</v>
      </c>
      <c r="B155">
        <v>0</v>
      </c>
      <c r="C155">
        <f t="shared" si="6"/>
        <v>884</v>
      </c>
      <c r="D155" s="2">
        <f t="shared" si="7"/>
        <v>15.704918032786885</v>
      </c>
    </row>
    <row r="156" spans="1:4" x14ac:dyDescent="0.2">
      <c r="A156">
        <v>155</v>
      </c>
      <c r="B156">
        <v>0</v>
      </c>
      <c r="C156">
        <f t="shared" si="6"/>
        <v>885</v>
      </c>
      <c r="D156" s="2">
        <f t="shared" si="7"/>
        <v>15.704918032786885</v>
      </c>
    </row>
    <row r="157" spans="1:4" x14ac:dyDescent="0.2">
      <c r="A157">
        <v>156</v>
      </c>
      <c r="B157">
        <v>0</v>
      </c>
      <c r="C157">
        <f t="shared" si="6"/>
        <v>886</v>
      </c>
      <c r="D157" s="2">
        <f t="shared" si="7"/>
        <v>15.704918032786885</v>
      </c>
    </row>
    <row r="158" spans="1:4" x14ac:dyDescent="0.2">
      <c r="A158">
        <v>157</v>
      </c>
      <c r="B158">
        <v>0</v>
      </c>
      <c r="C158">
        <f t="shared" si="6"/>
        <v>887</v>
      </c>
      <c r="D158" s="2">
        <f t="shared" si="7"/>
        <v>15.704918032786885</v>
      </c>
    </row>
    <row r="159" spans="1:4" x14ac:dyDescent="0.2">
      <c r="A159">
        <v>158</v>
      </c>
      <c r="B159">
        <v>0</v>
      </c>
      <c r="C159">
        <f t="shared" si="6"/>
        <v>888</v>
      </c>
      <c r="D159" s="2">
        <f t="shared" si="7"/>
        <v>15.704918032786885</v>
      </c>
    </row>
    <row r="160" spans="1:4" x14ac:dyDescent="0.2">
      <c r="A160">
        <v>159</v>
      </c>
      <c r="B160">
        <v>0</v>
      </c>
      <c r="C160">
        <f t="shared" si="6"/>
        <v>889</v>
      </c>
      <c r="D160" s="2">
        <f t="shared" si="7"/>
        <v>15.704918032786885</v>
      </c>
    </row>
    <row r="161" spans="1:4" x14ac:dyDescent="0.2">
      <c r="A161">
        <v>160</v>
      </c>
      <c r="B161">
        <v>0</v>
      </c>
      <c r="C161">
        <f t="shared" si="6"/>
        <v>890</v>
      </c>
      <c r="D161" s="2">
        <f t="shared" si="7"/>
        <v>15.704918032786885</v>
      </c>
    </row>
    <row r="162" spans="1:4" x14ac:dyDescent="0.2">
      <c r="A162">
        <v>161</v>
      </c>
      <c r="B162">
        <v>0</v>
      </c>
      <c r="C162">
        <f t="shared" si="6"/>
        <v>891</v>
      </c>
      <c r="D162" s="2">
        <f t="shared" si="7"/>
        <v>15.704918032786885</v>
      </c>
    </row>
    <row r="163" spans="1:4" x14ac:dyDescent="0.2">
      <c r="A163">
        <v>162</v>
      </c>
      <c r="B163">
        <v>0</v>
      </c>
      <c r="C163">
        <f t="shared" si="6"/>
        <v>892</v>
      </c>
      <c r="D163" s="2">
        <f t="shared" si="7"/>
        <v>15.704918032786885</v>
      </c>
    </row>
    <row r="164" spans="1:4" x14ac:dyDescent="0.2">
      <c r="A164">
        <v>163</v>
      </c>
      <c r="B164">
        <v>0</v>
      </c>
      <c r="C164">
        <f t="shared" si="6"/>
        <v>893</v>
      </c>
      <c r="D164" s="2">
        <f t="shared" si="7"/>
        <v>15.704918032786885</v>
      </c>
    </row>
    <row r="165" spans="1:4" x14ac:dyDescent="0.2">
      <c r="A165">
        <v>164</v>
      </c>
      <c r="B165">
        <v>0</v>
      </c>
      <c r="C165">
        <f t="shared" si="6"/>
        <v>894</v>
      </c>
      <c r="D165" s="2">
        <f t="shared" si="7"/>
        <v>15.704918032786885</v>
      </c>
    </row>
    <row r="166" spans="1:4" x14ac:dyDescent="0.2">
      <c r="A166">
        <v>165</v>
      </c>
      <c r="B166">
        <v>0</v>
      </c>
      <c r="C166">
        <f t="shared" si="6"/>
        <v>895</v>
      </c>
      <c r="D166" s="2">
        <f t="shared" si="7"/>
        <v>15.704918032786885</v>
      </c>
    </row>
    <row r="167" spans="1:4" x14ac:dyDescent="0.2">
      <c r="A167">
        <v>166</v>
      </c>
      <c r="B167">
        <v>0</v>
      </c>
      <c r="C167">
        <f t="shared" si="6"/>
        <v>896</v>
      </c>
      <c r="D167" s="2">
        <f t="shared" si="7"/>
        <v>15.704918032786885</v>
      </c>
    </row>
    <row r="168" spans="1:4" x14ac:dyDescent="0.2">
      <c r="A168">
        <v>167</v>
      </c>
      <c r="B168">
        <v>0</v>
      </c>
      <c r="C168">
        <f t="shared" si="6"/>
        <v>897</v>
      </c>
      <c r="D168" s="2">
        <f t="shared" si="7"/>
        <v>15.704918032786885</v>
      </c>
    </row>
    <row r="169" spans="1:4" x14ac:dyDescent="0.2">
      <c r="A169">
        <v>168</v>
      </c>
      <c r="B169">
        <v>0</v>
      </c>
      <c r="C169">
        <f t="shared" si="6"/>
        <v>898</v>
      </c>
      <c r="D169" s="2">
        <f t="shared" si="7"/>
        <v>15.704918032786885</v>
      </c>
    </row>
    <row r="170" spans="1:4" x14ac:dyDescent="0.2">
      <c r="A170">
        <v>169</v>
      </c>
      <c r="B170">
        <v>0</v>
      </c>
      <c r="C170">
        <f t="shared" si="6"/>
        <v>899</v>
      </c>
      <c r="D170" s="2">
        <f t="shared" si="7"/>
        <v>15.704918032786885</v>
      </c>
    </row>
    <row r="171" spans="1:4" x14ac:dyDescent="0.2">
      <c r="A171">
        <v>170</v>
      </c>
      <c r="B171">
        <v>0</v>
      </c>
      <c r="C171">
        <f t="shared" si="6"/>
        <v>900</v>
      </c>
      <c r="D171" s="2">
        <f t="shared" si="7"/>
        <v>15.704918032786885</v>
      </c>
    </row>
    <row r="172" spans="1:4" x14ac:dyDescent="0.2">
      <c r="A172">
        <v>171</v>
      </c>
      <c r="B172">
        <v>0</v>
      </c>
      <c r="C172">
        <f t="shared" si="6"/>
        <v>901</v>
      </c>
      <c r="D172" s="2">
        <f t="shared" si="7"/>
        <v>15.704918032786885</v>
      </c>
    </row>
    <row r="173" spans="1:4" x14ac:dyDescent="0.2">
      <c r="A173">
        <v>172</v>
      </c>
      <c r="B173">
        <v>0</v>
      </c>
      <c r="C173">
        <f t="shared" si="6"/>
        <v>902</v>
      </c>
      <c r="D173" s="2">
        <f t="shared" si="7"/>
        <v>15.704918032786885</v>
      </c>
    </row>
    <row r="174" spans="1:4" x14ac:dyDescent="0.2">
      <c r="A174">
        <v>173</v>
      </c>
      <c r="B174">
        <v>0</v>
      </c>
      <c r="C174">
        <f t="shared" si="6"/>
        <v>903</v>
      </c>
      <c r="D174" s="2">
        <f t="shared" si="7"/>
        <v>15.704918032786885</v>
      </c>
    </row>
    <row r="175" spans="1:4" x14ac:dyDescent="0.2">
      <c r="A175">
        <v>174</v>
      </c>
      <c r="B175">
        <v>0</v>
      </c>
      <c r="C175">
        <f t="shared" si="6"/>
        <v>904</v>
      </c>
      <c r="D175" s="2">
        <f t="shared" si="7"/>
        <v>15.704918032786885</v>
      </c>
    </row>
    <row r="176" spans="1:4" x14ac:dyDescent="0.2">
      <c r="A176">
        <v>175</v>
      </c>
      <c r="B176">
        <v>0</v>
      </c>
      <c r="C176">
        <f t="shared" si="6"/>
        <v>905</v>
      </c>
      <c r="D176" s="2">
        <f t="shared" si="7"/>
        <v>15.704918032786885</v>
      </c>
    </row>
    <row r="177" spans="1:4" x14ac:dyDescent="0.2">
      <c r="A177">
        <v>176</v>
      </c>
      <c r="B177">
        <v>0</v>
      </c>
      <c r="C177">
        <f t="shared" si="6"/>
        <v>906</v>
      </c>
      <c r="D177" s="2">
        <f t="shared" si="7"/>
        <v>15.704918032786885</v>
      </c>
    </row>
    <row r="178" spans="1:4" x14ac:dyDescent="0.2">
      <c r="A178">
        <v>177</v>
      </c>
      <c r="B178">
        <v>0</v>
      </c>
      <c r="C178">
        <f t="shared" si="6"/>
        <v>907</v>
      </c>
      <c r="D178" s="2">
        <f t="shared" si="7"/>
        <v>15.704918032786885</v>
      </c>
    </row>
    <row r="179" spans="1:4" x14ac:dyDescent="0.2">
      <c r="A179">
        <v>178</v>
      </c>
      <c r="B179">
        <v>0</v>
      </c>
      <c r="C179">
        <f t="shared" si="6"/>
        <v>908</v>
      </c>
      <c r="D179" s="2">
        <f t="shared" si="7"/>
        <v>15.704918032786885</v>
      </c>
    </row>
    <row r="180" spans="1:4" x14ac:dyDescent="0.2">
      <c r="A180">
        <v>179</v>
      </c>
      <c r="B180">
        <v>0</v>
      </c>
      <c r="C180">
        <f t="shared" si="6"/>
        <v>909</v>
      </c>
      <c r="D180" s="2">
        <f t="shared" si="7"/>
        <v>15.704918032786885</v>
      </c>
    </row>
    <row r="181" spans="1:4" x14ac:dyDescent="0.2">
      <c r="A181">
        <v>180</v>
      </c>
      <c r="B181">
        <v>0</v>
      </c>
      <c r="C181">
        <f t="shared" si="6"/>
        <v>910</v>
      </c>
      <c r="D181" s="2">
        <f t="shared" si="7"/>
        <v>15.704918032786885</v>
      </c>
    </row>
    <row r="182" spans="1:4" x14ac:dyDescent="0.2">
      <c r="A182">
        <v>181</v>
      </c>
      <c r="B182">
        <v>0</v>
      </c>
      <c r="C182">
        <f t="shared" si="6"/>
        <v>911</v>
      </c>
      <c r="D182" s="2">
        <f t="shared" si="7"/>
        <v>15.704918032786885</v>
      </c>
    </row>
    <row r="183" spans="1:4" x14ac:dyDescent="0.2">
      <c r="A183">
        <v>182</v>
      </c>
      <c r="B183">
        <v>0</v>
      </c>
      <c r="C183">
        <f t="shared" si="6"/>
        <v>912</v>
      </c>
      <c r="D183" s="2">
        <f t="shared" si="7"/>
        <v>15.704918032786885</v>
      </c>
    </row>
    <row r="184" spans="1:4" x14ac:dyDescent="0.2">
      <c r="A184">
        <v>183</v>
      </c>
      <c r="B184">
        <v>0</v>
      </c>
      <c r="C184">
        <f t="shared" si="6"/>
        <v>913</v>
      </c>
      <c r="D184" s="2">
        <f t="shared" si="7"/>
        <v>15.704918032786885</v>
      </c>
    </row>
    <row r="185" spans="1:4" x14ac:dyDescent="0.2">
      <c r="A185">
        <v>184</v>
      </c>
      <c r="B185">
        <v>0</v>
      </c>
      <c r="C185">
        <f t="shared" si="6"/>
        <v>914</v>
      </c>
      <c r="D185" s="2">
        <f t="shared" si="7"/>
        <v>15.704918032786885</v>
      </c>
    </row>
    <row r="186" spans="1:4" x14ac:dyDescent="0.2">
      <c r="A186">
        <v>185</v>
      </c>
      <c r="B186">
        <v>0</v>
      </c>
      <c r="C186">
        <f t="shared" si="6"/>
        <v>915</v>
      </c>
      <c r="D186" s="2">
        <f t="shared" si="7"/>
        <v>15.704918032786885</v>
      </c>
    </row>
    <row r="187" spans="1:4" x14ac:dyDescent="0.2">
      <c r="A187">
        <v>186</v>
      </c>
      <c r="B187">
        <v>0</v>
      </c>
      <c r="C187">
        <f t="shared" si="6"/>
        <v>916</v>
      </c>
      <c r="D187" s="2">
        <f t="shared" si="7"/>
        <v>15.704918032786885</v>
      </c>
    </row>
    <row r="188" spans="1:4" x14ac:dyDescent="0.2">
      <c r="A188">
        <v>187</v>
      </c>
      <c r="B188">
        <v>0</v>
      </c>
      <c r="C188">
        <f t="shared" si="6"/>
        <v>917</v>
      </c>
      <c r="D188" s="2">
        <f t="shared" si="7"/>
        <v>15.704918032786885</v>
      </c>
    </row>
    <row r="189" spans="1:4" x14ac:dyDescent="0.2">
      <c r="A189">
        <v>188</v>
      </c>
      <c r="B189">
        <v>0</v>
      </c>
      <c r="C189">
        <f t="shared" si="6"/>
        <v>918</v>
      </c>
      <c r="D189" s="2">
        <f t="shared" si="7"/>
        <v>15.704918032786885</v>
      </c>
    </row>
    <row r="190" spans="1:4" x14ac:dyDescent="0.2">
      <c r="A190">
        <v>189</v>
      </c>
      <c r="B190">
        <v>0</v>
      </c>
      <c r="C190">
        <f t="shared" si="6"/>
        <v>919</v>
      </c>
      <c r="D190" s="2">
        <f t="shared" si="7"/>
        <v>15.704918032786885</v>
      </c>
    </row>
    <row r="191" spans="1:4" x14ac:dyDescent="0.2">
      <c r="A191">
        <v>190</v>
      </c>
      <c r="B191">
        <v>0</v>
      </c>
      <c r="C191">
        <f t="shared" si="6"/>
        <v>920</v>
      </c>
      <c r="D191" s="2">
        <f t="shared" si="7"/>
        <v>15.704918032786885</v>
      </c>
    </row>
    <row r="192" spans="1:4" x14ac:dyDescent="0.2">
      <c r="A192">
        <v>191</v>
      </c>
      <c r="B192">
        <v>0</v>
      </c>
      <c r="C192">
        <f t="shared" si="6"/>
        <v>921</v>
      </c>
      <c r="D192" s="2">
        <f t="shared" si="7"/>
        <v>15.704918032786885</v>
      </c>
    </row>
    <row r="193" spans="1:4" x14ac:dyDescent="0.2">
      <c r="A193">
        <v>192</v>
      </c>
      <c r="B193">
        <v>0</v>
      </c>
      <c r="C193">
        <f t="shared" si="6"/>
        <v>922</v>
      </c>
      <c r="D193" s="2">
        <f t="shared" si="7"/>
        <v>15.704918032786885</v>
      </c>
    </row>
    <row r="194" spans="1:4" x14ac:dyDescent="0.2">
      <c r="A194">
        <v>193</v>
      </c>
      <c r="B194">
        <v>0</v>
      </c>
      <c r="C194">
        <f t="shared" si="6"/>
        <v>923</v>
      </c>
      <c r="D194" s="2">
        <f t="shared" si="7"/>
        <v>15.704918032786885</v>
      </c>
    </row>
    <row r="195" spans="1:4" x14ac:dyDescent="0.2">
      <c r="A195">
        <v>194</v>
      </c>
      <c r="B195">
        <v>0</v>
      </c>
      <c r="C195">
        <f t="shared" ref="C195:C258" si="8">A195+730</f>
        <v>924</v>
      </c>
      <c r="D195" s="2">
        <f t="shared" si="7"/>
        <v>15.704918032786885</v>
      </c>
    </row>
    <row r="196" spans="1:4" x14ac:dyDescent="0.2">
      <c r="A196">
        <v>195</v>
      </c>
      <c r="B196">
        <v>0</v>
      </c>
      <c r="C196">
        <f t="shared" si="8"/>
        <v>925</v>
      </c>
      <c r="D196" s="2">
        <f t="shared" ref="D196:D259" si="9">$D$2</f>
        <v>15.704918032786885</v>
      </c>
    </row>
    <row r="197" spans="1:4" x14ac:dyDescent="0.2">
      <c r="A197">
        <v>196</v>
      </c>
      <c r="B197">
        <v>0</v>
      </c>
      <c r="C197">
        <f t="shared" si="8"/>
        <v>926</v>
      </c>
      <c r="D197" s="2">
        <f t="shared" si="9"/>
        <v>15.704918032786885</v>
      </c>
    </row>
    <row r="198" spans="1:4" x14ac:dyDescent="0.2">
      <c r="A198">
        <v>197</v>
      </c>
      <c r="B198">
        <v>0</v>
      </c>
      <c r="C198">
        <f t="shared" si="8"/>
        <v>927</v>
      </c>
      <c r="D198" s="2">
        <f t="shared" si="9"/>
        <v>15.704918032786885</v>
      </c>
    </row>
    <row r="199" spans="1:4" x14ac:dyDescent="0.2">
      <c r="A199">
        <v>198</v>
      </c>
      <c r="B199">
        <v>0</v>
      </c>
      <c r="C199">
        <f t="shared" si="8"/>
        <v>928</v>
      </c>
      <c r="D199" s="2">
        <f t="shared" si="9"/>
        <v>15.704918032786885</v>
      </c>
    </row>
    <row r="200" spans="1:4" x14ac:dyDescent="0.2">
      <c r="A200">
        <v>199</v>
      </c>
      <c r="B200">
        <v>0</v>
      </c>
      <c r="C200">
        <f t="shared" si="8"/>
        <v>929</v>
      </c>
      <c r="D200" s="2">
        <f t="shared" si="9"/>
        <v>15.704918032786885</v>
      </c>
    </row>
    <row r="201" spans="1:4" x14ac:dyDescent="0.2">
      <c r="A201">
        <v>200</v>
      </c>
      <c r="B201">
        <v>0</v>
      </c>
      <c r="C201">
        <f t="shared" si="8"/>
        <v>930</v>
      </c>
      <c r="D201" s="2">
        <f t="shared" si="9"/>
        <v>15.704918032786885</v>
      </c>
    </row>
    <row r="202" spans="1:4" x14ac:dyDescent="0.2">
      <c r="A202">
        <v>201</v>
      </c>
      <c r="B202">
        <v>0</v>
      </c>
      <c r="C202">
        <f t="shared" si="8"/>
        <v>931</v>
      </c>
      <c r="D202" s="2">
        <f t="shared" si="9"/>
        <v>15.704918032786885</v>
      </c>
    </row>
    <row r="203" spans="1:4" x14ac:dyDescent="0.2">
      <c r="A203">
        <v>202</v>
      </c>
      <c r="B203">
        <v>0</v>
      </c>
      <c r="C203">
        <f t="shared" si="8"/>
        <v>932</v>
      </c>
      <c r="D203" s="2">
        <f t="shared" si="9"/>
        <v>15.704918032786885</v>
      </c>
    </row>
    <row r="204" spans="1:4" x14ac:dyDescent="0.2">
      <c r="A204">
        <v>203</v>
      </c>
      <c r="B204">
        <v>0</v>
      </c>
      <c r="C204">
        <f t="shared" si="8"/>
        <v>933</v>
      </c>
      <c r="D204" s="2">
        <f t="shared" si="9"/>
        <v>15.704918032786885</v>
      </c>
    </row>
    <row r="205" spans="1:4" x14ac:dyDescent="0.2">
      <c r="A205">
        <v>204</v>
      </c>
      <c r="B205">
        <v>0</v>
      </c>
      <c r="C205">
        <f t="shared" si="8"/>
        <v>934</v>
      </c>
      <c r="D205" s="2">
        <f t="shared" si="9"/>
        <v>15.704918032786885</v>
      </c>
    </row>
    <row r="206" spans="1:4" x14ac:dyDescent="0.2">
      <c r="A206">
        <v>205</v>
      </c>
      <c r="B206">
        <v>0</v>
      </c>
      <c r="C206">
        <f t="shared" si="8"/>
        <v>935</v>
      </c>
      <c r="D206" s="2">
        <f t="shared" si="9"/>
        <v>15.704918032786885</v>
      </c>
    </row>
    <row r="207" spans="1:4" x14ac:dyDescent="0.2">
      <c r="A207">
        <v>206</v>
      </c>
      <c r="B207">
        <v>0</v>
      </c>
      <c r="C207">
        <f t="shared" si="8"/>
        <v>936</v>
      </c>
      <c r="D207" s="2">
        <f t="shared" si="9"/>
        <v>15.704918032786885</v>
      </c>
    </row>
    <row r="208" spans="1:4" x14ac:dyDescent="0.2">
      <c r="A208">
        <v>207</v>
      </c>
      <c r="B208">
        <v>0</v>
      </c>
      <c r="C208">
        <f t="shared" si="8"/>
        <v>937</v>
      </c>
      <c r="D208" s="2">
        <f t="shared" si="9"/>
        <v>15.704918032786885</v>
      </c>
    </row>
    <row r="209" spans="1:4" x14ac:dyDescent="0.2">
      <c r="A209">
        <v>208</v>
      </c>
      <c r="B209">
        <v>0</v>
      </c>
      <c r="C209">
        <f t="shared" si="8"/>
        <v>938</v>
      </c>
      <c r="D209" s="2">
        <f t="shared" si="9"/>
        <v>15.704918032786885</v>
      </c>
    </row>
    <row r="210" spans="1:4" x14ac:dyDescent="0.2">
      <c r="A210">
        <v>209</v>
      </c>
      <c r="B210">
        <v>0</v>
      </c>
      <c r="C210">
        <f t="shared" si="8"/>
        <v>939</v>
      </c>
      <c r="D210" s="2">
        <f t="shared" si="9"/>
        <v>15.704918032786885</v>
      </c>
    </row>
    <row r="211" spans="1:4" x14ac:dyDescent="0.2">
      <c r="A211">
        <v>210</v>
      </c>
      <c r="B211">
        <v>0</v>
      </c>
      <c r="C211">
        <f t="shared" si="8"/>
        <v>940</v>
      </c>
      <c r="D211" s="2">
        <f t="shared" si="9"/>
        <v>15.704918032786885</v>
      </c>
    </row>
    <row r="212" spans="1:4" x14ac:dyDescent="0.2">
      <c r="A212">
        <v>211</v>
      </c>
      <c r="B212">
        <v>0</v>
      </c>
      <c r="C212">
        <f t="shared" si="8"/>
        <v>941</v>
      </c>
      <c r="D212" s="2">
        <f t="shared" si="9"/>
        <v>15.704918032786885</v>
      </c>
    </row>
    <row r="213" spans="1:4" x14ac:dyDescent="0.2">
      <c r="A213">
        <v>212</v>
      </c>
      <c r="B213">
        <v>0</v>
      </c>
      <c r="C213">
        <f t="shared" si="8"/>
        <v>942</v>
      </c>
      <c r="D213" s="2">
        <f t="shared" si="9"/>
        <v>15.704918032786885</v>
      </c>
    </row>
    <row r="214" spans="1:4" x14ac:dyDescent="0.2">
      <c r="A214">
        <v>213</v>
      </c>
      <c r="B214">
        <v>0</v>
      </c>
      <c r="C214">
        <f t="shared" si="8"/>
        <v>943</v>
      </c>
      <c r="D214" s="2">
        <f t="shared" si="9"/>
        <v>15.704918032786885</v>
      </c>
    </row>
    <row r="215" spans="1:4" x14ac:dyDescent="0.2">
      <c r="A215">
        <v>214</v>
      </c>
      <c r="B215">
        <v>0</v>
      </c>
      <c r="C215">
        <f t="shared" si="8"/>
        <v>944</v>
      </c>
      <c r="D215" s="2">
        <f t="shared" si="9"/>
        <v>15.704918032786885</v>
      </c>
    </row>
    <row r="216" spans="1:4" x14ac:dyDescent="0.2">
      <c r="A216">
        <v>215</v>
      </c>
      <c r="B216">
        <v>0</v>
      </c>
      <c r="C216">
        <f t="shared" si="8"/>
        <v>945</v>
      </c>
      <c r="D216" s="2">
        <f t="shared" si="9"/>
        <v>15.704918032786885</v>
      </c>
    </row>
    <row r="217" spans="1:4" x14ac:dyDescent="0.2">
      <c r="A217">
        <v>216</v>
      </c>
      <c r="B217">
        <v>0</v>
      </c>
      <c r="C217">
        <f t="shared" si="8"/>
        <v>946</v>
      </c>
      <c r="D217" s="2">
        <f t="shared" si="9"/>
        <v>15.704918032786885</v>
      </c>
    </row>
    <row r="218" spans="1:4" x14ac:dyDescent="0.2">
      <c r="A218">
        <v>217</v>
      </c>
      <c r="B218">
        <v>0</v>
      </c>
      <c r="C218">
        <f t="shared" si="8"/>
        <v>947</v>
      </c>
      <c r="D218" s="2">
        <f t="shared" si="9"/>
        <v>15.704918032786885</v>
      </c>
    </row>
    <row r="219" spans="1:4" x14ac:dyDescent="0.2">
      <c r="A219">
        <v>218</v>
      </c>
      <c r="B219">
        <v>0</v>
      </c>
      <c r="C219">
        <f t="shared" si="8"/>
        <v>948</v>
      </c>
      <c r="D219" s="2">
        <f t="shared" si="9"/>
        <v>15.704918032786885</v>
      </c>
    </row>
    <row r="220" spans="1:4" x14ac:dyDescent="0.2">
      <c r="A220">
        <v>219</v>
      </c>
      <c r="B220">
        <v>0</v>
      </c>
      <c r="C220">
        <f t="shared" si="8"/>
        <v>949</v>
      </c>
      <c r="D220" s="2">
        <f t="shared" si="9"/>
        <v>15.704918032786885</v>
      </c>
    </row>
    <row r="221" spans="1:4" x14ac:dyDescent="0.2">
      <c r="A221">
        <v>220</v>
      </c>
      <c r="B221">
        <v>0</v>
      </c>
      <c r="C221">
        <f t="shared" si="8"/>
        <v>950</v>
      </c>
      <c r="D221" s="2">
        <f t="shared" si="9"/>
        <v>15.704918032786885</v>
      </c>
    </row>
    <row r="222" spans="1:4" x14ac:dyDescent="0.2">
      <c r="A222">
        <v>221</v>
      </c>
      <c r="B222">
        <v>0</v>
      </c>
      <c r="C222">
        <f t="shared" si="8"/>
        <v>951</v>
      </c>
      <c r="D222" s="2">
        <f t="shared" si="9"/>
        <v>15.704918032786885</v>
      </c>
    </row>
    <row r="223" spans="1:4" x14ac:dyDescent="0.2">
      <c r="A223">
        <v>222</v>
      </c>
      <c r="B223">
        <v>0</v>
      </c>
      <c r="C223">
        <f t="shared" si="8"/>
        <v>952</v>
      </c>
      <c r="D223" s="2">
        <f t="shared" si="9"/>
        <v>15.704918032786885</v>
      </c>
    </row>
    <row r="224" spans="1:4" x14ac:dyDescent="0.2">
      <c r="A224">
        <v>223</v>
      </c>
      <c r="B224">
        <v>0</v>
      </c>
      <c r="C224">
        <f t="shared" si="8"/>
        <v>953</v>
      </c>
      <c r="D224" s="2">
        <f t="shared" si="9"/>
        <v>15.704918032786885</v>
      </c>
    </row>
    <row r="225" spans="1:4" x14ac:dyDescent="0.2">
      <c r="A225">
        <v>224</v>
      </c>
      <c r="B225">
        <v>0</v>
      </c>
      <c r="C225">
        <f t="shared" si="8"/>
        <v>954</v>
      </c>
      <c r="D225" s="2">
        <f t="shared" si="9"/>
        <v>15.704918032786885</v>
      </c>
    </row>
    <row r="226" spans="1:4" x14ac:dyDescent="0.2">
      <c r="A226">
        <v>225</v>
      </c>
      <c r="B226">
        <v>0</v>
      </c>
      <c r="C226">
        <f t="shared" si="8"/>
        <v>955</v>
      </c>
      <c r="D226" s="2">
        <f t="shared" si="9"/>
        <v>15.704918032786885</v>
      </c>
    </row>
    <row r="227" spans="1:4" x14ac:dyDescent="0.2">
      <c r="A227">
        <v>226</v>
      </c>
      <c r="B227">
        <v>0</v>
      </c>
      <c r="C227">
        <f t="shared" si="8"/>
        <v>956</v>
      </c>
      <c r="D227" s="2">
        <f t="shared" si="9"/>
        <v>15.704918032786885</v>
      </c>
    </row>
    <row r="228" spans="1:4" x14ac:dyDescent="0.2">
      <c r="A228">
        <v>227</v>
      </c>
      <c r="B228">
        <v>0</v>
      </c>
      <c r="C228">
        <f t="shared" si="8"/>
        <v>957</v>
      </c>
      <c r="D228" s="2">
        <f t="shared" si="9"/>
        <v>15.704918032786885</v>
      </c>
    </row>
    <row r="229" spans="1:4" x14ac:dyDescent="0.2">
      <c r="A229">
        <v>228</v>
      </c>
      <c r="B229">
        <v>0</v>
      </c>
      <c r="C229">
        <f t="shared" si="8"/>
        <v>958</v>
      </c>
      <c r="D229" s="2">
        <f t="shared" si="9"/>
        <v>15.704918032786885</v>
      </c>
    </row>
    <row r="230" spans="1:4" x14ac:dyDescent="0.2">
      <c r="A230">
        <v>229</v>
      </c>
      <c r="B230">
        <v>0</v>
      </c>
      <c r="C230">
        <f t="shared" si="8"/>
        <v>959</v>
      </c>
      <c r="D230" s="2">
        <f t="shared" si="9"/>
        <v>15.704918032786885</v>
      </c>
    </row>
    <row r="231" spans="1:4" x14ac:dyDescent="0.2">
      <c r="A231">
        <v>230</v>
      </c>
      <c r="B231">
        <v>0</v>
      </c>
      <c r="C231">
        <f t="shared" si="8"/>
        <v>960</v>
      </c>
      <c r="D231" s="2">
        <f t="shared" si="9"/>
        <v>15.704918032786885</v>
      </c>
    </row>
    <row r="232" spans="1:4" x14ac:dyDescent="0.2">
      <c r="A232">
        <v>231</v>
      </c>
      <c r="B232">
        <v>0</v>
      </c>
      <c r="C232">
        <f t="shared" si="8"/>
        <v>961</v>
      </c>
      <c r="D232" s="2">
        <f t="shared" si="9"/>
        <v>15.704918032786885</v>
      </c>
    </row>
    <row r="233" spans="1:4" x14ac:dyDescent="0.2">
      <c r="A233">
        <v>232</v>
      </c>
      <c r="B233">
        <v>0</v>
      </c>
      <c r="C233">
        <f t="shared" si="8"/>
        <v>962</v>
      </c>
      <c r="D233" s="2">
        <f t="shared" si="9"/>
        <v>15.704918032786885</v>
      </c>
    </row>
    <row r="234" spans="1:4" x14ac:dyDescent="0.2">
      <c r="A234">
        <v>233</v>
      </c>
      <c r="B234">
        <v>0</v>
      </c>
      <c r="C234">
        <f t="shared" si="8"/>
        <v>963</v>
      </c>
      <c r="D234" s="2">
        <f t="shared" si="9"/>
        <v>15.704918032786885</v>
      </c>
    </row>
    <row r="235" spans="1:4" x14ac:dyDescent="0.2">
      <c r="A235">
        <v>234</v>
      </c>
      <c r="B235">
        <v>0</v>
      </c>
      <c r="C235">
        <f t="shared" si="8"/>
        <v>964</v>
      </c>
      <c r="D235" s="2">
        <f t="shared" si="9"/>
        <v>15.704918032786885</v>
      </c>
    </row>
    <row r="236" spans="1:4" x14ac:dyDescent="0.2">
      <c r="A236">
        <v>235</v>
      </c>
      <c r="B236">
        <v>0</v>
      </c>
      <c r="C236">
        <f t="shared" si="8"/>
        <v>965</v>
      </c>
      <c r="D236" s="2">
        <f t="shared" si="9"/>
        <v>15.704918032786885</v>
      </c>
    </row>
    <row r="237" spans="1:4" x14ac:dyDescent="0.2">
      <c r="A237">
        <v>236</v>
      </c>
      <c r="B237">
        <v>0</v>
      </c>
      <c r="C237">
        <f t="shared" si="8"/>
        <v>966</v>
      </c>
      <c r="D237" s="2">
        <f t="shared" si="9"/>
        <v>15.704918032786885</v>
      </c>
    </row>
    <row r="238" spans="1:4" x14ac:dyDescent="0.2">
      <c r="A238">
        <v>237</v>
      </c>
      <c r="B238">
        <v>0</v>
      </c>
      <c r="C238">
        <f t="shared" si="8"/>
        <v>967</v>
      </c>
      <c r="D238" s="2">
        <f t="shared" si="9"/>
        <v>15.704918032786885</v>
      </c>
    </row>
    <row r="239" spans="1:4" x14ac:dyDescent="0.2">
      <c r="A239">
        <v>238</v>
      </c>
      <c r="B239">
        <v>0</v>
      </c>
      <c r="C239">
        <f t="shared" si="8"/>
        <v>968</v>
      </c>
      <c r="D239" s="2">
        <f t="shared" si="9"/>
        <v>15.704918032786885</v>
      </c>
    </row>
    <row r="240" spans="1:4" x14ac:dyDescent="0.2">
      <c r="A240">
        <v>239</v>
      </c>
      <c r="B240">
        <v>0</v>
      </c>
      <c r="C240">
        <f t="shared" si="8"/>
        <v>969</v>
      </c>
      <c r="D240" s="2">
        <f t="shared" si="9"/>
        <v>15.704918032786885</v>
      </c>
    </row>
    <row r="241" spans="1:4" x14ac:dyDescent="0.2">
      <c r="A241">
        <v>240</v>
      </c>
      <c r="B241">
        <v>0</v>
      </c>
      <c r="C241">
        <f t="shared" si="8"/>
        <v>970</v>
      </c>
      <c r="D241" s="2">
        <f t="shared" si="9"/>
        <v>15.704918032786885</v>
      </c>
    </row>
    <row r="242" spans="1:4" x14ac:dyDescent="0.2">
      <c r="A242">
        <v>241</v>
      </c>
      <c r="B242">
        <v>0</v>
      </c>
      <c r="C242">
        <f t="shared" si="8"/>
        <v>971</v>
      </c>
      <c r="D242" s="2">
        <f t="shared" si="9"/>
        <v>15.704918032786885</v>
      </c>
    </row>
    <row r="243" spans="1:4" x14ac:dyDescent="0.2">
      <c r="A243">
        <v>242</v>
      </c>
      <c r="B243">
        <v>0</v>
      </c>
      <c r="C243">
        <f t="shared" si="8"/>
        <v>972</v>
      </c>
      <c r="D243" s="2">
        <f t="shared" si="9"/>
        <v>15.704918032786885</v>
      </c>
    </row>
    <row r="244" spans="1:4" x14ac:dyDescent="0.2">
      <c r="A244">
        <v>243</v>
      </c>
      <c r="B244">
        <v>0</v>
      </c>
      <c r="C244">
        <f t="shared" si="8"/>
        <v>973</v>
      </c>
      <c r="D244" s="2">
        <f t="shared" si="9"/>
        <v>15.704918032786885</v>
      </c>
    </row>
    <row r="245" spans="1:4" x14ac:dyDescent="0.2">
      <c r="A245">
        <v>244</v>
      </c>
      <c r="B245">
        <v>0</v>
      </c>
      <c r="C245">
        <f t="shared" si="8"/>
        <v>974</v>
      </c>
      <c r="D245" s="2">
        <f t="shared" si="9"/>
        <v>15.704918032786885</v>
      </c>
    </row>
    <row r="246" spans="1:4" x14ac:dyDescent="0.2">
      <c r="A246">
        <v>245</v>
      </c>
      <c r="B246">
        <v>0</v>
      </c>
      <c r="C246">
        <f t="shared" si="8"/>
        <v>975</v>
      </c>
      <c r="D246" s="2">
        <f t="shared" si="9"/>
        <v>15.704918032786885</v>
      </c>
    </row>
    <row r="247" spans="1:4" x14ac:dyDescent="0.2">
      <c r="A247">
        <v>246</v>
      </c>
      <c r="B247">
        <v>0</v>
      </c>
      <c r="C247">
        <f t="shared" si="8"/>
        <v>976</v>
      </c>
      <c r="D247" s="2">
        <f t="shared" si="9"/>
        <v>15.704918032786885</v>
      </c>
    </row>
    <row r="248" spans="1:4" x14ac:dyDescent="0.2">
      <c r="A248">
        <v>247</v>
      </c>
      <c r="B248">
        <v>0</v>
      </c>
      <c r="C248">
        <f t="shared" si="8"/>
        <v>977</v>
      </c>
      <c r="D248" s="2">
        <f t="shared" si="9"/>
        <v>15.704918032786885</v>
      </c>
    </row>
    <row r="249" spans="1:4" x14ac:dyDescent="0.2">
      <c r="A249">
        <v>248</v>
      </c>
      <c r="B249">
        <v>0</v>
      </c>
      <c r="C249">
        <f t="shared" si="8"/>
        <v>978</v>
      </c>
      <c r="D249" s="2">
        <f t="shared" si="9"/>
        <v>15.704918032786885</v>
      </c>
    </row>
    <row r="250" spans="1:4" x14ac:dyDescent="0.2">
      <c r="A250">
        <v>249</v>
      </c>
      <c r="B250">
        <v>0</v>
      </c>
      <c r="C250">
        <f t="shared" si="8"/>
        <v>979</v>
      </c>
      <c r="D250" s="2">
        <f t="shared" si="9"/>
        <v>15.704918032786885</v>
      </c>
    </row>
    <row r="251" spans="1:4" x14ac:dyDescent="0.2">
      <c r="A251">
        <v>250</v>
      </c>
      <c r="B251">
        <v>0</v>
      </c>
      <c r="C251">
        <f t="shared" si="8"/>
        <v>980</v>
      </c>
      <c r="D251" s="2">
        <f t="shared" si="9"/>
        <v>15.704918032786885</v>
      </c>
    </row>
    <row r="252" spans="1:4" x14ac:dyDescent="0.2">
      <c r="A252">
        <v>251</v>
      </c>
      <c r="B252">
        <v>0</v>
      </c>
      <c r="C252">
        <f t="shared" si="8"/>
        <v>981</v>
      </c>
      <c r="D252" s="2">
        <f t="shared" si="9"/>
        <v>15.704918032786885</v>
      </c>
    </row>
    <row r="253" spans="1:4" x14ac:dyDescent="0.2">
      <c r="A253">
        <v>252</v>
      </c>
      <c r="B253">
        <v>0</v>
      </c>
      <c r="C253">
        <f t="shared" si="8"/>
        <v>982</v>
      </c>
      <c r="D253" s="2">
        <f t="shared" si="9"/>
        <v>15.704918032786885</v>
      </c>
    </row>
    <row r="254" spans="1:4" x14ac:dyDescent="0.2">
      <c r="A254">
        <v>253</v>
      </c>
      <c r="B254">
        <v>0</v>
      </c>
      <c r="C254">
        <f t="shared" si="8"/>
        <v>983</v>
      </c>
      <c r="D254" s="2">
        <f t="shared" si="9"/>
        <v>15.704918032786885</v>
      </c>
    </row>
    <row r="255" spans="1:4" x14ac:dyDescent="0.2">
      <c r="A255">
        <v>254</v>
      </c>
      <c r="B255">
        <v>0</v>
      </c>
      <c r="C255">
        <f t="shared" si="8"/>
        <v>984</v>
      </c>
      <c r="D255" s="2">
        <f t="shared" si="9"/>
        <v>15.704918032786885</v>
      </c>
    </row>
    <row r="256" spans="1:4" x14ac:dyDescent="0.2">
      <c r="A256">
        <v>255</v>
      </c>
      <c r="B256">
        <v>0</v>
      </c>
      <c r="C256">
        <f t="shared" si="8"/>
        <v>985</v>
      </c>
      <c r="D256" s="2">
        <f t="shared" si="9"/>
        <v>15.704918032786885</v>
      </c>
    </row>
    <row r="257" spans="1:4" x14ac:dyDescent="0.2">
      <c r="A257">
        <v>256</v>
      </c>
      <c r="B257">
        <v>0</v>
      </c>
      <c r="C257">
        <f t="shared" si="8"/>
        <v>986</v>
      </c>
      <c r="D257" s="2">
        <f t="shared" si="9"/>
        <v>15.704918032786885</v>
      </c>
    </row>
    <row r="258" spans="1:4" x14ac:dyDescent="0.2">
      <c r="A258">
        <v>257</v>
      </c>
      <c r="B258">
        <v>0</v>
      </c>
      <c r="C258">
        <f t="shared" si="8"/>
        <v>987</v>
      </c>
      <c r="D258" s="2">
        <f t="shared" si="9"/>
        <v>15.704918032786885</v>
      </c>
    </row>
    <row r="259" spans="1:4" x14ac:dyDescent="0.2">
      <c r="A259">
        <v>258</v>
      </c>
      <c r="B259">
        <v>0</v>
      </c>
      <c r="C259">
        <f t="shared" ref="C259:C322" si="10">A259+730</f>
        <v>988</v>
      </c>
      <c r="D259" s="2">
        <f t="shared" si="9"/>
        <v>15.704918032786885</v>
      </c>
    </row>
    <row r="260" spans="1:4" x14ac:dyDescent="0.2">
      <c r="A260">
        <v>259</v>
      </c>
      <c r="B260">
        <v>0</v>
      </c>
      <c r="C260">
        <f t="shared" si="10"/>
        <v>989</v>
      </c>
      <c r="D260" s="2">
        <f t="shared" ref="D260:D323" si="11">$D$2</f>
        <v>15.704918032786885</v>
      </c>
    </row>
    <row r="261" spans="1:4" x14ac:dyDescent="0.2">
      <c r="A261">
        <v>260</v>
      </c>
      <c r="B261">
        <v>0</v>
      </c>
      <c r="C261">
        <f t="shared" si="10"/>
        <v>990</v>
      </c>
      <c r="D261" s="2">
        <f t="shared" si="11"/>
        <v>15.704918032786885</v>
      </c>
    </row>
    <row r="262" spans="1:4" x14ac:dyDescent="0.2">
      <c r="A262">
        <v>261</v>
      </c>
      <c r="B262">
        <v>0</v>
      </c>
      <c r="C262">
        <f t="shared" si="10"/>
        <v>991</v>
      </c>
      <c r="D262" s="2">
        <f t="shared" si="11"/>
        <v>15.704918032786885</v>
      </c>
    </row>
    <row r="263" spans="1:4" x14ac:dyDescent="0.2">
      <c r="A263">
        <v>262</v>
      </c>
      <c r="B263">
        <v>0</v>
      </c>
      <c r="C263">
        <f t="shared" si="10"/>
        <v>992</v>
      </c>
      <c r="D263" s="2">
        <f t="shared" si="11"/>
        <v>15.704918032786885</v>
      </c>
    </row>
    <row r="264" spans="1:4" x14ac:dyDescent="0.2">
      <c r="A264">
        <v>263</v>
      </c>
      <c r="B264">
        <v>0</v>
      </c>
      <c r="C264">
        <f t="shared" si="10"/>
        <v>993</v>
      </c>
      <c r="D264" s="2">
        <f t="shared" si="11"/>
        <v>15.704918032786885</v>
      </c>
    </row>
    <row r="265" spans="1:4" x14ac:dyDescent="0.2">
      <c r="A265">
        <v>264</v>
      </c>
      <c r="B265">
        <v>0</v>
      </c>
      <c r="C265">
        <f t="shared" si="10"/>
        <v>994</v>
      </c>
      <c r="D265" s="2">
        <f t="shared" si="11"/>
        <v>15.704918032786885</v>
      </c>
    </row>
    <row r="266" spans="1:4" x14ac:dyDescent="0.2">
      <c r="A266">
        <v>265</v>
      </c>
      <c r="B266">
        <v>0</v>
      </c>
      <c r="C266">
        <f t="shared" si="10"/>
        <v>995</v>
      </c>
      <c r="D266" s="2">
        <f t="shared" si="11"/>
        <v>15.704918032786885</v>
      </c>
    </row>
    <row r="267" spans="1:4" x14ac:dyDescent="0.2">
      <c r="A267">
        <v>266</v>
      </c>
      <c r="B267">
        <v>0</v>
      </c>
      <c r="C267">
        <f t="shared" si="10"/>
        <v>996</v>
      </c>
      <c r="D267" s="2">
        <f t="shared" si="11"/>
        <v>15.704918032786885</v>
      </c>
    </row>
    <row r="268" spans="1:4" x14ac:dyDescent="0.2">
      <c r="A268">
        <v>267</v>
      </c>
      <c r="B268">
        <v>0</v>
      </c>
      <c r="C268">
        <f t="shared" si="10"/>
        <v>997</v>
      </c>
      <c r="D268" s="2">
        <f t="shared" si="11"/>
        <v>15.704918032786885</v>
      </c>
    </row>
    <row r="269" spans="1:4" x14ac:dyDescent="0.2">
      <c r="A269">
        <v>268</v>
      </c>
      <c r="B269">
        <v>0</v>
      </c>
      <c r="C269">
        <f t="shared" si="10"/>
        <v>998</v>
      </c>
      <c r="D269" s="2">
        <f t="shared" si="11"/>
        <v>15.704918032786885</v>
      </c>
    </row>
    <row r="270" spans="1:4" x14ac:dyDescent="0.2">
      <c r="A270">
        <v>269</v>
      </c>
      <c r="B270">
        <v>0</v>
      </c>
      <c r="C270">
        <f t="shared" si="10"/>
        <v>999</v>
      </c>
      <c r="D270" s="2">
        <f t="shared" si="11"/>
        <v>15.704918032786885</v>
      </c>
    </row>
    <row r="271" spans="1:4" x14ac:dyDescent="0.2">
      <c r="A271">
        <v>270</v>
      </c>
      <c r="B271">
        <v>0</v>
      </c>
      <c r="C271">
        <f t="shared" si="10"/>
        <v>1000</v>
      </c>
      <c r="D271" s="2">
        <f t="shared" si="11"/>
        <v>15.704918032786885</v>
      </c>
    </row>
    <row r="272" spans="1:4" x14ac:dyDescent="0.2">
      <c r="A272">
        <v>271</v>
      </c>
      <c r="B272">
        <v>0</v>
      </c>
      <c r="C272">
        <f t="shared" si="10"/>
        <v>1001</v>
      </c>
      <c r="D272" s="2">
        <f t="shared" si="11"/>
        <v>15.704918032786885</v>
      </c>
    </row>
    <row r="273" spans="1:4" x14ac:dyDescent="0.2">
      <c r="A273">
        <v>272</v>
      </c>
      <c r="B273">
        <v>0</v>
      </c>
      <c r="C273">
        <f t="shared" si="10"/>
        <v>1002</v>
      </c>
      <c r="D273" s="2">
        <f t="shared" si="11"/>
        <v>15.704918032786885</v>
      </c>
    </row>
    <row r="274" spans="1:4" x14ac:dyDescent="0.2">
      <c r="A274">
        <v>273</v>
      </c>
      <c r="B274">
        <v>0</v>
      </c>
      <c r="C274">
        <f t="shared" si="10"/>
        <v>1003</v>
      </c>
      <c r="D274" s="2">
        <f t="shared" si="11"/>
        <v>15.704918032786885</v>
      </c>
    </row>
    <row r="275" spans="1:4" x14ac:dyDescent="0.2">
      <c r="A275">
        <v>274</v>
      </c>
      <c r="B275">
        <v>0</v>
      </c>
      <c r="C275">
        <f t="shared" si="10"/>
        <v>1004</v>
      </c>
      <c r="D275" s="2">
        <f t="shared" si="11"/>
        <v>15.704918032786885</v>
      </c>
    </row>
    <row r="276" spans="1:4" x14ac:dyDescent="0.2">
      <c r="A276">
        <v>275</v>
      </c>
      <c r="B276">
        <v>0</v>
      </c>
      <c r="C276">
        <f t="shared" si="10"/>
        <v>1005</v>
      </c>
      <c r="D276" s="2">
        <f t="shared" si="11"/>
        <v>15.704918032786885</v>
      </c>
    </row>
    <row r="277" spans="1:4" x14ac:dyDescent="0.2">
      <c r="A277">
        <v>276</v>
      </c>
      <c r="B277">
        <v>0</v>
      </c>
      <c r="C277">
        <f t="shared" si="10"/>
        <v>1006</v>
      </c>
      <c r="D277" s="2">
        <f t="shared" si="11"/>
        <v>15.704918032786885</v>
      </c>
    </row>
    <row r="278" spans="1:4" x14ac:dyDescent="0.2">
      <c r="A278">
        <v>277</v>
      </c>
      <c r="B278">
        <v>0</v>
      </c>
      <c r="C278">
        <f t="shared" si="10"/>
        <v>1007</v>
      </c>
      <c r="D278" s="2">
        <f t="shared" si="11"/>
        <v>15.704918032786885</v>
      </c>
    </row>
    <row r="279" spans="1:4" x14ac:dyDescent="0.2">
      <c r="A279">
        <v>278</v>
      </c>
      <c r="B279">
        <v>0</v>
      </c>
      <c r="C279">
        <f t="shared" si="10"/>
        <v>1008</v>
      </c>
      <c r="D279" s="2">
        <f t="shared" si="11"/>
        <v>15.704918032786885</v>
      </c>
    </row>
    <row r="280" spans="1:4" x14ac:dyDescent="0.2">
      <c r="A280">
        <v>279</v>
      </c>
      <c r="B280">
        <v>0</v>
      </c>
      <c r="C280">
        <f t="shared" si="10"/>
        <v>1009</v>
      </c>
      <c r="D280" s="2">
        <f t="shared" si="11"/>
        <v>15.704918032786885</v>
      </c>
    </row>
    <row r="281" spans="1:4" x14ac:dyDescent="0.2">
      <c r="A281">
        <v>280</v>
      </c>
      <c r="B281">
        <v>0</v>
      </c>
      <c r="C281">
        <f t="shared" si="10"/>
        <v>1010</v>
      </c>
      <c r="D281" s="2">
        <f t="shared" si="11"/>
        <v>15.704918032786885</v>
      </c>
    </row>
    <row r="282" spans="1:4" x14ac:dyDescent="0.2">
      <c r="A282">
        <v>281</v>
      </c>
      <c r="B282">
        <v>0</v>
      </c>
      <c r="C282">
        <f t="shared" si="10"/>
        <v>1011</v>
      </c>
      <c r="D282" s="2">
        <f t="shared" si="11"/>
        <v>15.704918032786885</v>
      </c>
    </row>
    <row r="283" spans="1:4" x14ac:dyDescent="0.2">
      <c r="A283">
        <v>282</v>
      </c>
      <c r="B283">
        <v>0</v>
      </c>
      <c r="C283">
        <f t="shared" si="10"/>
        <v>1012</v>
      </c>
      <c r="D283" s="2">
        <f t="shared" si="11"/>
        <v>15.704918032786885</v>
      </c>
    </row>
    <row r="284" spans="1:4" x14ac:dyDescent="0.2">
      <c r="A284">
        <v>283</v>
      </c>
      <c r="B284">
        <v>0</v>
      </c>
      <c r="C284">
        <f t="shared" si="10"/>
        <v>1013</v>
      </c>
      <c r="D284" s="2">
        <f t="shared" si="11"/>
        <v>15.704918032786885</v>
      </c>
    </row>
    <row r="285" spans="1:4" x14ac:dyDescent="0.2">
      <c r="A285">
        <v>284</v>
      </c>
      <c r="B285">
        <v>0</v>
      </c>
      <c r="C285">
        <f t="shared" si="10"/>
        <v>1014</v>
      </c>
      <c r="D285" s="2">
        <f t="shared" si="11"/>
        <v>15.704918032786885</v>
      </c>
    </row>
    <row r="286" spans="1:4" x14ac:dyDescent="0.2">
      <c r="A286">
        <v>285</v>
      </c>
      <c r="B286">
        <v>0</v>
      </c>
      <c r="C286">
        <f t="shared" si="10"/>
        <v>1015</v>
      </c>
      <c r="D286" s="2">
        <f t="shared" si="11"/>
        <v>15.704918032786885</v>
      </c>
    </row>
    <row r="287" spans="1:4" x14ac:dyDescent="0.2">
      <c r="A287">
        <v>286</v>
      </c>
      <c r="B287">
        <v>0</v>
      </c>
      <c r="C287">
        <f t="shared" si="10"/>
        <v>1016</v>
      </c>
      <c r="D287" s="2">
        <f t="shared" si="11"/>
        <v>15.704918032786885</v>
      </c>
    </row>
    <row r="288" spans="1:4" x14ac:dyDescent="0.2">
      <c r="A288">
        <v>287</v>
      </c>
      <c r="B288">
        <v>0</v>
      </c>
      <c r="C288">
        <f t="shared" si="10"/>
        <v>1017</v>
      </c>
      <c r="D288" s="2">
        <f t="shared" si="11"/>
        <v>15.704918032786885</v>
      </c>
    </row>
    <row r="289" spans="1:4" x14ac:dyDescent="0.2">
      <c r="A289">
        <v>288</v>
      </c>
      <c r="B289">
        <v>0</v>
      </c>
      <c r="C289">
        <f t="shared" si="10"/>
        <v>1018</v>
      </c>
      <c r="D289" s="2">
        <f t="shared" si="11"/>
        <v>15.704918032786885</v>
      </c>
    </row>
    <row r="290" spans="1:4" x14ac:dyDescent="0.2">
      <c r="A290">
        <v>289</v>
      </c>
      <c r="B290">
        <v>0</v>
      </c>
      <c r="C290">
        <f t="shared" si="10"/>
        <v>1019</v>
      </c>
      <c r="D290" s="2">
        <f t="shared" si="11"/>
        <v>15.704918032786885</v>
      </c>
    </row>
    <row r="291" spans="1:4" x14ac:dyDescent="0.2">
      <c r="A291">
        <v>290</v>
      </c>
      <c r="B291">
        <v>0</v>
      </c>
      <c r="C291">
        <f t="shared" si="10"/>
        <v>1020</v>
      </c>
      <c r="D291" s="2">
        <f t="shared" si="11"/>
        <v>15.704918032786885</v>
      </c>
    </row>
    <row r="292" spans="1:4" x14ac:dyDescent="0.2">
      <c r="A292">
        <v>291</v>
      </c>
      <c r="B292">
        <v>0</v>
      </c>
      <c r="C292">
        <f t="shared" si="10"/>
        <v>1021</v>
      </c>
      <c r="D292" s="2">
        <f t="shared" si="11"/>
        <v>15.704918032786885</v>
      </c>
    </row>
    <row r="293" spans="1:4" x14ac:dyDescent="0.2">
      <c r="A293">
        <v>292</v>
      </c>
      <c r="B293">
        <v>0</v>
      </c>
      <c r="C293">
        <f t="shared" si="10"/>
        <v>1022</v>
      </c>
      <c r="D293" s="2">
        <f t="shared" si="11"/>
        <v>15.704918032786885</v>
      </c>
    </row>
    <row r="294" spans="1:4" x14ac:dyDescent="0.2">
      <c r="A294">
        <v>293</v>
      </c>
      <c r="B294">
        <v>0</v>
      </c>
      <c r="C294">
        <f t="shared" si="10"/>
        <v>1023</v>
      </c>
      <c r="D294" s="2">
        <f t="shared" si="11"/>
        <v>15.704918032786885</v>
      </c>
    </row>
    <row r="295" spans="1:4" x14ac:dyDescent="0.2">
      <c r="A295">
        <v>294</v>
      </c>
      <c r="B295">
        <v>0</v>
      </c>
      <c r="C295">
        <f t="shared" si="10"/>
        <v>1024</v>
      </c>
      <c r="D295" s="2">
        <f t="shared" si="11"/>
        <v>15.704918032786885</v>
      </c>
    </row>
    <row r="296" spans="1:4" x14ac:dyDescent="0.2">
      <c r="A296">
        <v>295</v>
      </c>
      <c r="B296">
        <v>0</v>
      </c>
      <c r="C296">
        <f t="shared" si="10"/>
        <v>1025</v>
      </c>
      <c r="D296" s="2">
        <f t="shared" si="11"/>
        <v>15.704918032786885</v>
      </c>
    </row>
    <row r="297" spans="1:4" x14ac:dyDescent="0.2">
      <c r="A297">
        <v>296</v>
      </c>
      <c r="B297">
        <v>0</v>
      </c>
      <c r="C297">
        <f t="shared" si="10"/>
        <v>1026</v>
      </c>
      <c r="D297" s="2">
        <f t="shared" si="11"/>
        <v>15.704918032786885</v>
      </c>
    </row>
    <row r="298" spans="1:4" x14ac:dyDescent="0.2">
      <c r="A298">
        <v>297</v>
      </c>
      <c r="B298">
        <v>0</v>
      </c>
      <c r="C298">
        <f t="shared" si="10"/>
        <v>1027</v>
      </c>
      <c r="D298" s="2">
        <f t="shared" si="11"/>
        <v>15.704918032786885</v>
      </c>
    </row>
    <row r="299" spans="1:4" x14ac:dyDescent="0.2">
      <c r="A299">
        <v>298</v>
      </c>
      <c r="B299">
        <v>0</v>
      </c>
      <c r="C299">
        <f t="shared" si="10"/>
        <v>1028</v>
      </c>
      <c r="D299" s="2">
        <f t="shared" si="11"/>
        <v>15.704918032786885</v>
      </c>
    </row>
    <row r="300" spans="1:4" x14ac:dyDescent="0.2">
      <c r="A300">
        <v>299</v>
      </c>
      <c r="B300">
        <v>0</v>
      </c>
      <c r="C300">
        <f t="shared" si="10"/>
        <v>1029</v>
      </c>
      <c r="D300" s="2">
        <f t="shared" si="11"/>
        <v>15.704918032786885</v>
      </c>
    </row>
    <row r="301" spans="1:4" x14ac:dyDescent="0.2">
      <c r="A301">
        <v>300</v>
      </c>
      <c r="B301">
        <v>0</v>
      </c>
      <c r="C301">
        <f t="shared" si="10"/>
        <v>1030</v>
      </c>
      <c r="D301" s="2">
        <f t="shared" si="11"/>
        <v>15.704918032786885</v>
      </c>
    </row>
    <row r="302" spans="1:4" x14ac:dyDescent="0.2">
      <c r="A302">
        <v>301</v>
      </c>
      <c r="B302">
        <v>0</v>
      </c>
      <c r="C302">
        <f t="shared" si="10"/>
        <v>1031</v>
      </c>
      <c r="D302" s="2">
        <f t="shared" si="11"/>
        <v>15.704918032786885</v>
      </c>
    </row>
    <row r="303" spans="1:4" x14ac:dyDescent="0.2">
      <c r="A303">
        <v>302</v>
      </c>
      <c r="B303">
        <v>0</v>
      </c>
      <c r="C303">
        <f t="shared" si="10"/>
        <v>1032</v>
      </c>
      <c r="D303" s="2">
        <f t="shared" si="11"/>
        <v>15.704918032786885</v>
      </c>
    </row>
    <row r="304" spans="1:4" x14ac:dyDescent="0.2">
      <c r="A304">
        <v>303</v>
      </c>
      <c r="B304">
        <v>0</v>
      </c>
      <c r="C304">
        <f t="shared" si="10"/>
        <v>1033</v>
      </c>
      <c r="D304" s="2">
        <f t="shared" si="11"/>
        <v>15.704918032786885</v>
      </c>
    </row>
    <row r="305" spans="1:4" x14ac:dyDescent="0.2">
      <c r="A305">
        <v>304</v>
      </c>
      <c r="B305">
        <v>0</v>
      </c>
      <c r="C305">
        <f t="shared" si="10"/>
        <v>1034</v>
      </c>
      <c r="D305" s="2">
        <f t="shared" si="11"/>
        <v>15.704918032786885</v>
      </c>
    </row>
    <row r="306" spans="1:4" x14ac:dyDescent="0.2">
      <c r="A306">
        <v>305</v>
      </c>
      <c r="B306">
        <v>0</v>
      </c>
      <c r="C306">
        <f t="shared" si="10"/>
        <v>1035</v>
      </c>
      <c r="D306" s="2">
        <f t="shared" si="11"/>
        <v>15.704918032786885</v>
      </c>
    </row>
    <row r="307" spans="1:4" x14ac:dyDescent="0.2">
      <c r="A307">
        <v>306</v>
      </c>
      <c r="B307">
        <v>0</v>
      </c>
      <c r="C307">
        <f t="shared" si="10"/>
        <v>1036</v>
      </c>
      <c r="D307" s="2">
        <f t="shared" si="11"/>
        <v>15.704918032786885</v>
      </c>
    </row>
    <row r="308" spans="1:4" x14ac:dyDescent="0.2">
      <c r="A308">
        <v>307</v>
      </c>
      <c r="B308">
        <v>0</v>
      </c>
      <c r="C308">
        <f t="shared" si="10"/>
        <v>1037</v>
      </c>
      <c r="D308" s="2">
        <f t="shared" si="11"/>
        <v>15.704918032786885</v>
      </c>
    </row>
    <row r="309" spans="1:4" x14ac:dyDescent="0.2">
      <c r="A309">
        <v>308</v>
      </c>
      <c r="B309">
        <v>0</v>
      </c>
      <c r="C309">
        <f t="shared" si="10"/>
        <v>1038</v>
      </c>
      <c r="D309" s="2">
        <f t="shared" si="11"/>
        <v>15.704918032786885</v>
      </c>
    </row>
    <row r="310" spans="1:4" x14ac:dyDescent="0.2">
      <c r="A310">
        <v>309</v>
      </c>
      <c r="B310">
        <v>0</v>
      </c>
      <c r="C310">
        <f t="shared" si="10"/>
        <v>1039</v>
      </c>
      <c r="D310" s="2">
        <f t="shared" si="11"/>
        <v>15.704918032786885</v>
      </c>
    </row>
    <row r="311" spans="1:4" x14ac:dyDescent="0.2">
      <c r="A311">
        <v>310</v>
      </c>
      <c r="B311">
        <v>0</v>
      </c>
      <c r="C311">
        <f t="shared" si="10"/>
        <v>1040</v>
      </c>
      <c r="D311" s="2">
        <f t="shared" si="11"/>
        <v>15.704918032786885</v>
      </c>
    </row>
    <row r="312" spans="1:4" x14ac:dyDescent="0.2">
      <c r="A312">
        <v>311</v>
      </c>
      <c r="B312">
        <v>0</v>
      </c>
      <c r="C312">
        <f t="shared" si="10"/>
        <v>1041</v>
      </c>
      <c r="D312" s="2">
        <f t="shared" si="11"/>
        <v>15.704918032786885</v>
      </c>
    </row>
    <row r="313" spans="1:4" x14ac:dyDescent="0.2">
      <c r="A313">
        <v>312</v>
      </c>
      <c r="B313">
        <v>0</v>
      </c>
      <c r="C313">
        <f t="shared" si="10"/>
        <v>1042</v>
      </c>
      <c r="D313" s="2">
        <f t="shared" si="11"/>
        <v>15.704918032786885</v>
      </c>
    </row>
    <row r="314" spans="1:4" x14ac:dyDescent="0.2">
      <c r="A314">
        <v>313</v>
      </c>
      <c r="B314">
        <v>0</v>
      </c>
      <c r="C314">
        <f t="shared" si="10"/>
        <v>1043</v>
      </c>
      <c r="D314" s="2">
        <f t="shared" si="11"/>
        <v>15.704918032786885</v>
      </c>
    </row>
    <row r="315" spans="1:4" x14ac:dyDescent="0.2">
      <c r="A315">
        <v>314</v>
      </c>
      <c r="B315">
        <v>0</v>
      </c>
      <c r="C315">
        <f t="shared" si="10"/>
        <v>1044</v>
      </c>
      <c r="D315" s="2">
        <f t="shared" si="11"/>
        <v>15.704918032786885</v>
      </c>
    </row>
    <row r="316" spans="1:4" x14ac:dyDescent="0.2">
      <c r="A316">
        <v>315</v>
      </c>
      <c r="B316">
        <v>0</v>
      </c>
      <c r="C316">
        <f t="shared" si="10"/>
        <v>1045</v>
      </c>
      <c r="D316" s="2">
        <f t="shared" si="11"/>
        <v>15.704918032786885</v>
      </c>
    </row>
    <row r="317" spans="1:4" x14ac:dyDescent="0.2">
      <c r="A317">
        <v>316</v>
      </c>
      <c r="B317">
        <v>0</v>
      </c>
      <c r="C317">
        <f t="shared" si="10"/>
        <v>1046</v>
      </c>
      <c r="D317" s="2">
        <f t="shared" si="11"/>
        <v>15.704918032786885</v>
      </c>
    </row>
    <row r="318" spans="1:4" x14ac:dyDescent="0.2">
      <c r="A318">
        <v>317</v>
      </c>
      <c r="B318">
        <v>0</v>
      </c>
      <c r="C318">
        <f t="shared" si="10"/>
        <v>1047</v>
      </c>
      <c r="D318" s="2">
        <f t="shared" si="11"/>
        <v>15.704918032786885</v>
      </c>
    </row>
    <row r="319" spans="1:4" x14ac:dyDescent="0.2">
      <c r="A319">
        <v>318</v>
      </c>
      <c r="B319">
        <v>0</v>
      </c>
      <c r="C319">
        <f t="shared" si="10"/>
        <v>1048</v>
      </c>
      <c r="D319" s="2">
        <f t="shared" si="11"/>
        <v>15.704918032786885</v>
      </c>
    </row>
    <row r="320" spans="1:4" x14ac:dyDescent="0.2">
      <c r="A320">
        <v>319</v>
      </c>
      <c r="B320">
        <v>0</v>
      </c>
      <c r="C320">
        <f t="shared" si="10"/>
        <v>1049</v>
      </c>
      <c r="D320" s="2">
        <f t="shared" si="11"/>
        <v>15.704918032786885</v>
      </c>
    </row>
    <row r="321" spans="1:4" x14ac:dyDescent="0.2">
      <c r="A321">
        <v>320</v>
      </c>
      <c r="B321">
        <v>0</v>
      </c>
      <c r="C321">
        <f t="shared" si="10"/>
        <v>1050</v>
      </c>
      <c r="D321" s="2">
        <f t="shared" si="11"/>
        <v>15.704918032786885</v>
      </c>
    </row>
    <row r="322" spans="1:4" x14ac:dyDescent="0.2">
      <c r="A322">
        <v>321</v>
      </c>
      <c r="B322">
        <v>0</v>
      </c>
      <c r="C322">
        <f t="shared" si="10"/>
        <v>1051</v>
      </c>
      <c r="D322" s="2">
        <f t="shared" si="11"/>
        <v>15.704918032786885</v>
      </c>
    </row>
    <row r="323" spans="1:4" x14ac:dyDescent="0.2">
      <c r="A323">
        <v>322</v>
      </c>
      <c r="B323">
        <v>0</v>
      </c>
      <c r="C323">
        <f t="shared" ref="C323:C386" si="12">A323+730</f>
        <v>1052</v>
      </c>
      <c r="D323" s="2">
        <f t="shared" si="11"/>
        <v>15.704918032786885</v>
      </c>
    </row>
    <row r="324" spans="1:4" x14ac:dyDescent="0.2">
      <c r="A324">
        <v>323</v>
      </c>
      <c r="B324">
        <v>0</v>
      </c>
      <c r="C324">
        <f t="shared" si="12"/>
        <v>1053</v>
      </c>
      <c r="D324" s="2">
        <f t="shared" ref="D324:D387" si="13">$D$2</f>
        <v>15.704918032786885</v>
      </c>
    </row>
    <row r="325" spans="1:4" x14ac:dyDescent="0.2">
      <c r="A325">
        <v>324</v>
      </c>
      <c r="B325">
        <v>0</v>
      </c>
      <c r="C325">
        <f t="shared" si="12"/>
        <v>1054</v>
      </c>
      <c r="D325" s="2">
        <f t="shared" si="13"/>
        <v>15.704918032786885</v>
      </c>
    </row>
    <row r="326" spans="1:4" x14ac:dyDescent="0.2">
      <c r="A326">
        <v>325</v>
      </c>
      <c r="B326">
        <v>0</v>
      </c>
      <c r="C326">
        <f t="shared" si="12"/>
        <v>1055</v>
      </c>
      <c r="D326" s="2">
        <f t="shared" si="13"/>
        <v>15.704918032786885</v>
      </c>
    </row>
    <row r="327" spans="1:4" x14ac:dyDescent="0.2">
      <c r="A327">
        <v>326</v>
      </c>
      <c r="B327">
        <v>0</v>
      </c>
      <c r="C327">
        <f t="shared" si="12"/>
        <v>1056</v>
      </c>
      <c r="D327" s="2">
        <f t="shared" si="13"/>
        <v>15.704918032786885</v>
      </c>
    </row>
    <row r="328" spans="1:4" x14ac:dyDescent="0.2">
      <c r="A328">
        <v>327</v>
      </c>
      <c r="B328">
        <v>0</v>
      </c>
      <c r="C328">
        <f t="shared" si="12"/>
        <v>1057</v>
      </c>
      <c r="D328" s="2">
        <f t="shared" si="13"/>
        <v>15.704918032786885</v>
      </c>
    </row>
    <row r="329" spans="1:4" x14ac:dyDescent="0.2">
      <c r="A329">
        <v>328</v>
      </c>
      <c r="B329">
        <v>0</v>
      </c>
      <c r="C329">
        <f t="shared" si="12"/>
        <v>1058</v>
      </c>
      <c r="D329" s="2">
        <f t="shared" si="13"/>
        <v>15.704918032786885</v>
      </c>
    </row>
    <row r="330" spans="1:4" x14ac:dyDescent="0.2">
      <c r="A330">
        <v>329</v>
      </c>
      <c r="B330">
        <v>0</v>
      </c>
      <c r="C330">
        <f t="shared" si="12"/>
        <v>1059</v>
      </c>
      <c r="D330" s="2">
        <f t="shared" si="13"/>
        <v>15.704918032786885</v>
      </c>
    </row>
    <row r="331" spans="1:4" x14ac:dyDescent="0.2">
      <c r="A331">
        <v>330</v>
      </c>
      <c r="B331">
        <v>0</v>
      </c>
      <c r="C331">
        <f t="shared" si="12"/>
        <v>1060</v>
      </c>
      <c r="D331" s="2">
        <f t="shared" si="13"/>
        <v>15.704918032786885</v>
      </c>
    </row>
    <row r="332" spans="1:4" x14ac:dyDescent="0.2">
      <c r="A332">
        <v>331</v>
      </c>
      <c r="B332">
        <v>0</v>
      </c>
      <c r="C332">
        <f t="shared" si="12"/>
        <v>1061</v>
      </c>
      <c r="D332" s="2">
        <f t="shared" si="13"/>
        <v>15.704918032786885</v>
      </c>
    </row>
    <row r="333" spans="1:4" x14ac:dyDescent="0.2">
      <c r="A333">
        <v>332</v>
      </c>
      <c r="B333">
        <v>0</v>
      </c>
      <c r="C333">
        <f t="shared" si="12"/>
        <v>1062</v>
      </c>
      <c r="D333" s="2">
        <f t="shared" si="13"/>
        <v>15.704918032786885</v>
      </c>
    </row>
    <row r="334" spans="1:4" x14ac:dyDescent="0.2">
      <c r="A334">
        <v>333</v>
      </c>
      <c r="B334">
        <v>0</v>
      </c>
      <c r="C334">
        <f t="shared" si="12"/>
        <v>1063</v>
      </c>
      <c r="D334" s="2">
        <f t="shared" si="13"/>
        <v>15.704918032786885</v>
      </c>
    </row>
    <row r="335" spans="1:4" x14ac:dyDescent="0.2">
      <c r="A335">
        <v>334</v>
      </c>
      <c r="B335">
        <v>0</v>
      </c>
      <c r="C335">
        <f t="shared" si="12"/>
        <v>1064</v>
      </c>
      <c r="D335" s="2">
        <f t="shared" si="13"/>
        <v>15.704918032786885</v>
      </c>
    </row>
    <row r="336" spans="1:4" x14ac:dyDescent="0.2">
      <c r="A336">
        <v>335</v>
      </c>
      <c r="B336">
        <v>0</v>
      </c>
      <c r="C336">
        <f t="shared" si="12"/>
        <v>1065</v>
      </c>
      <c r="D336" s="2">
        <f t="shared" si="13"/>
        <v>15.704918032786885</v>
      </c>
    </row>
    <row r="337" spans="1:4" x14ac:dyDescent="0.2">
      <c r="A337">
        <v>336</v>
      </c>
      <c r="B337">
        <v>0</v>
      </c>
      <c r="C337">
        <f t="shared" si="12"/>
        <v>1066</v>
      </c>
      <c r="D337" s="2">
        <f t="shared" si="13"/>
        <v>15.704918032786885</v>
      </c>
    </row>
    <row r="338" spans="1:4" x14ac:dyDescent="0.2">
      <c r="A338">
        <v>337</v>
      </c>
      <c r="B338">
        <v>0</v>
      </c>
      <c r="C338">
        <f t="shared" si="12"/>
        <v>1067</v>
      </c>
      <c r="D338" s="2">
        <f t="shared" si="13"/>
        <v>15.704918032786885</v>
      </c>
    </row>
    <row r="339" spans="1:4" x14ac:dyDescent="0.2">
      <c r="A339">
        <v>338</v>
      </c>
      <c r="B339">
        <v>0</v>
      </c>
      <c r="C339">
        <f t="shared" si="12"/>
        <v>1068</v>
      </c>
      <c r="D339" s="2">
        <f t="shared" si="13"/>
        <v>15.704918032786885</v>
      </c>
    </row>
    <row r="340" spans="1:4" x14ac:dyDescent="0.2">
      <c r="A340">
        <v>339</v>
      </c>
      <c r="B340">
        <v>0</v>
      </c>
      <c r="C340">
        <f t="shared" si="12"/>
        <v>1069</v>
      </c>
      <c r="D340" s="2">
        <f t="shared" si="13"/>
        <v>15.704918032786885</v>
      </c>
    </row>
    <row r="341" spans="1:4" x14ac:dyDescent="0.2">
      <c r="A341">
        <v>340</v>
      </c>
      <c r="B341">
        <v>0</v>
      </c>
      <c r="C341">
        <f t="shared" si="12"/>
        <v>1070</v>
      </c>
      <c r="D341" s="2">
        <f t="shared" si="13"/>
        <v>15.704918032786885</v>
      </c>
    </row>
    <row r="342" spans="1:4" x14ac:dyDescent="0.2">
      <c r="A342">
        <v>341</v>
      </c>
      <c r="B342">
        <v>0</v>
      </c>
      <c r="C342">
        <f t="shared" si="12"/>
        <v>1071</v>
      </c>
      <c r="D342" s="2">
        <f t="shared" si="13"/>
        <v>15.704918032786885</v>
      </c>
    </row>
    <row r="343" spans="1:4" x14ac:dyDescent="0.2">
      <c r="A343">
        <v>342</v>
      </c>
      <c r="B343">
        <v>0</v>
      </c>
      <c r="C343">
        <f t="shared" si="12"/>
        <v>1072</v>
      </c>
      <c r="D343" s="2">
        <f t="shared" si="13"/>
        <v>15.704918032786885</v>
      </c>
    </row>
    <row r="344" spans="1:4" x14ac:dyDescent="0.2">
      <c r="A344">
        <v>343</v>
      </c>
      <c r="B344">
        <v>0</v>
      </c>
      <c r="C344">
        <f t="shared" si="12"/>
        <v>1073</v>
      </c>
      <c r="D344" s="2">
        <f t="shared" si="13"/>
        <v>15.704918032786885</v>
      </c>
    </row>
    <row r="345" spans="1:4" x14ac:dyDescent="0.2">
      <c r="A345">
        <v>344</v>
      </c>
      <c r="B345">
        <v>0</v>
      </c>
      <c r="C345">
        <f t="shared" si="12"/>
        <v>1074</v>
      </c>
      <c r="D345" s="2">
        <f t="shared" si="13"/>
        <v>15.704918032786885</v>
      </c>
    </row>
    <row r="346" spans="1:4" x14ac:dyDescent="0.2">
      <c r="A346">
        <v>345</v>
      </c>
      <c r="B346">
        <v>0</v>
      </c>
      <c r="C346">
        <f t="shared" si="12"/>
        <v>1075</v>
      </c>
      <c r="D346" s="2">
        <f t="shared" si="13"/>
        <v>15.704918032786885</v>
      </c>
    </row>
    <row r="347" spans="1:4" x14ac:dyDescent="0.2">
      <c r="A347">
        <v>346</v>
      </c>
      <c r="B347">
        <v>0</v>
      </c>
      <c r="C347">
        <f t="shared" si="12"/>
        <v>1076</v>
      </c>
      <c r="D347" s="2">
        <f t="shared" si="13"/>
        <v>15.704918032786885</v>
      </c>
    </row>
    <row r="348" spans="1:4" x14ac:dyDescent="0.2">
      <c r="A348">
        <v>347</v>
      </c>
      <c r="B348">
        <v>0</v>
      </c>
      <c r="C348">
        <f t="shared" si="12"/>
        <v>1077</v>
      </c>
      <c r="D348" s="2">
        <f t="shared" si="13"/>
        <v>15.704918032786885</v>
      </c>
    </row>
    <row r="349" spans="1:4" x14ac:dyDescent="0.2">
      <c r="A349">
        <v>348</v>
      </c>
      <c r="B349">
        <v>0</v>
      </c>
      <c r="C349">
        <f t="shared" si="12"/>
        <v>1078</v>
      </c>
      <c r="D349" s="2">
        <f t="shared" si="13"/>
        <v>15.704918032786885</v>
      </c>
    </row>
    <row r="350" spans="1:4" x14ac:dyDescent="0.2">
      <c r="A350">
        <v>349</v>
      </c>
      <c r="B350">
        <v>0</v>
      </c>
      <c r="C350">
        <f t="shared" si="12"/>
        <v>1079</v>
      </c>
      <c r="D350" s="2">
        <f t="shared" si="13"/>
        <v>15.704918032786885</v>
      </c>
    </row>
    <row r="351" spans="1:4" x14ac:dyDescent="0.2">
      <c r="A351">
        <v>350</v>
      </c>
      <c r="B351">
        <v>0</v>
      </c>
      <c r="C351">
        <f t="shared" si="12"/>
        <v>1080</v>
      </c>
      <c r="D351" s="2">
        <f t="shared" si="13"/>
        <v>15.704918032786885</v>
      </c>
    </row>
    <row r="352" spans="1:4" x14ac:dyDescent="0.2">
      <c r="A352">
        <v>351</v>
      </c>
      <c r="B352">
        <v>0</v>
      </c>
      <c r="C352">
        <f t="shared" si="12"/>
        <v>1081</v>
      </c>
      <c r="D352" s="2">
        <f t="shared" si="13"/>
        <v>15.704918032786885</v>
      </c>
    </row>
    <row r="353" spans="1:4" x14ac:dyDescent="0.2">
      <c r="A353">
        <v>352</v>
      </c>
      <c r="B353">
        <v>0</v>
      </c>
      <c r="C353">
        <f t="shared" si="12"/>
        <v>1082</v>
      </c>
      <c r="D353" s="2">
        <f t="shared" si="13"/>
        <v>15.704918032786885</v>
      </c>
    </row>
    <row r="354" spans="1:4" x14ac:dyDescent="0.2">
      <c r="A354">
        <v>353</v>
      </c>
      <c r="B354">
        <v>0</v>
      </c>
      <c r="C354">
        <f t="shared" si="12"/>
        <v>1083</v>
      </c>
      <c r="D354" s="2">
        <f t="shared" si="13"/>
        <v>15.704918032786885</v>
      </c>
    </row>
    <row r="355" spans="1:4" x14ac:dyDescent="0.2">
      <c r="A355">
        <v>354</v>
      </c>
      <c r="B355">
        <v>0</v>
      </c>
      <c r="C355">
        <f t="shared" si="12"/>
        <v>1084</v>
      </c>
      <c r="D355" s="2">
        <f t="shared" si="13"/>
        <v>15.704918032786885</v>
      </c>
    </row>
    <row r="356" spans="1:4" x14ac:dyDescent="0.2">
      <c r="A356">
        <v>355</v>
      </c>
      <c r="B356">
        <v>0</v>
      </c>
      <c r="C356">
        <f t="shared" si="12"/>
        <v>1085</v>
      </c>
      <c r="D356" s="2">
        <f t="shared" si="13"/>
        <v>15.704918032786885</v>
      </c>
    </row>
    <row r="357" spans="1:4" x14ac:dyDescent="0.2">
      <c r="A357">
        <v>356</v>
      </c>
      <c r="B357">
        <v>0</v>
      </c>
      <c r="C357">
        <f t="shared" si="12"/>
        <v>1086</v>
      </c>
      <c r="D357" s="2">
        <f t="shared" si="13"/>
        <v>15.704918032786885</v>
      </c>
    </row>
    <row r="358" spans="1:4" x14ac:dyDescent="0.2">
      <c r="A358">
        <v>357</v>
      </c>
      <c r="B358">
        <v>0</v>
      </c>
      <c r="C358">
        <f t="shared" si="12"/>
        <v>1087</v>
      </c>
      <c r="D358" s="2">
        <f t="shared" si="13"/>
        <v>15.704918032786885</v>
      </c>
    </row>
    <row r="359" spans="1:4" x14ac:dyDescent="0.2">
      <c r="A359">
        <v>358</v>
      </c>
      <c r="B359">
        <v>0</v>
      </c>
      <c r="C359">
        <f t="shared" si="12"/>
        <v>1088</v>
      </c>
      <c r="D359" s="2">
        <f t="shared" si="13"/>
        <v>15.704918032786885</v>
      </c>
    </row>
    <row r="360" spans="1:4" x14ac:dyDescent="0.2">
      <c r="A360">
        <v>359</v>
      </c>
      <c r="B360">
        <v>0</v>
      </c>
      <c r="C360">
        <f t="shared" si="12"/>
        <v>1089</v>
      </c>
      <c r="D360" s="2">
        <f t="shared" si="13"/>
        <v>15.704918032786885</v>
      </c>
    </row>
    <row r="361" spans="1:4" x14ac:dyDescent="0.2">
      <c r="A361">
        <v>360</v>
      </c>
      <c r="B361">
        <v>0</v>
      </c>
      <c r="C361">
        <f t="shared" si="12"/>
        <v>1090</v>
      </c>
      <c r="D361" s="2">
        <f t="shared" si="13"/>
        <v>15.704918032786885</v>
      </c>
    </row>
    <row r="362" spans="1:4" x14ac:dyDescent="0.2">
      <c r="A362">
        <v>361</v>
      </c>
      <c r="B362">
        <v>0</v>
      </c>
      <c r="C362">
        <f t="shared" si="12"/>
        <v>1091</v>
      </c>
      <c r="D362" s="2">
        <f t="shared" si="13"/>
        <v>15.704918032786885</v>
      </c>
    </row>
    <row r="363" spans="1:4" x14ac:dyDescent="0.2">
      <c r="A363">
        <v>362</v>
      </c>
      <c r="B363">
        <v>0</v>
      </c>
      <c r="C363">
        <f t="shared" si="12"/>
        <v>1092</v>
      </c>
      <c r="D363" s="2">
        <f t="shared" si="13"/>
        <v>15.704918032786885</v>
      </c>
    </row>
    <row r="364" spans="1:4" x14ac:dyDescent="0.2">
      <c r="A364">
        <v>363</v>
      </c>
      <c r="B364">
        <v>0</v>
      </c>
      <c r="C364">
        <f t="shared" si="12"/>
        <v>1093</v>
      </c>
      <c r="D364" s="2">
        <f t="shared" si="13"/>
        <v>15.704918032786885</v>
      </c>
    </row>
    <row r="365" spans="1:4" x14ac:dyDescent="0.2">
      <c r="A365">
        <v>364</v>
      </c>
      <c r="B365">
        <v>0</v>
      </c>
      <c r="C365">
        <f t="shared" si="12"/>
        <v>1094</v>
      </c>
      <c r="D365" s="2">
        <f t="shared" si="13"/>
        <v>15.704918032786885</v>
      </c>
    </row>
    <row r="366" spans="1:4" x14ac:dyDescent="0.2">
      <c r="A366">
        <v>365</v>
      </c>
      <c r="B366">
        <v>0</v>
      </c>
      <c r="C366">
        <f t="shared" si="12"/>
        <v>1095</v>
      </c>
      <c r="D366" s="2">
        <f t="shared" si="13"/>
        <v>15.704918032786885</v>
      </c>
    </row>
    <row r="367" spans="1:4" x14ac:dyDescent="0.2">
      <c r="A367">
        <v>366</v>
      </c>
      <c r="B367">
        <v>0</v>
      </c>
      <c r="C367">
        <f t="shared" si="12"/>
        <v>1096</v>
      </c>
      <c r="D367" s="2">
        <f t="shared" si="13"/>
        <v>15.704918032786885</v>
      </c>
    </row>
    <row r="368" spans="1:4" x14ac:dyDescent="0.2">
      <c r="A368">
        <v>367</v>
      </c>
      <c r="B368">
        <v>0</v>
      </c>
      <c r="C368">
        <f t="shared" si="12"/>
        <v>1097</v>
      </c>
      <c r="D368" s="2">
        <f t="shared" si="13"/>
        <v>15.704918032786885</v>
      </c>
    </row>
    <row r="369" spans="1:4" x14ac:dyDescent="0.2">
      <c r="A369">
        <v>368</v>
      </c>
      <c r="B369">
        <v>0</v>
      </c>
      <c r="C369">
        <f t="shared" si="12"/>
        <v>1098</v>
      </c>
      <c r="D369" s="2">
        <f t="shared" si="13"/>
        <v>15.704918032786885</v>
      </c>
    </row>
    <row r="370" spans="1:4" x14ac:dyDescent="0.2">
      <c r="A370">
        <v>369</v>
      </c>
      <c r="B370">
        <v>0</v>
      </c>
      <c r="C370">
        <f t="shared" si="12"/>
        <v>1099</v>
      </c>
      <c r="D370" s="2">
        <f t="shared" si="13"/>
        <v>15.704918032786885</v>
      </c>
    </row>
    <row r="371" spans="1:4" x14ac:dyDescent="0.2">
      <c r="A371">
        <v>370</v>
      </c>
      <c r="B371">
        <v>0</v>
      </c>
      <c r="C371">
        <f t="shared" si="12"/>
        <v>1100</v>
      </c>
      <c r="D371" s="2">
        <f t="shared" si="13"/>
        <v>15.704918032786885</v>
      </c>
    </row>
    <row r="372" spans="1:4" x14ac:dyDescent="0.2">
      <c r="A372">
        <v>371</v>
      </c>
      <c r="B372">
        <v>0</v>
      </c>
      <c r="C372">
        <f t="shared" si="12"/>
        <v>1101</v>
      </c>
      <c r="D372" s="2">
        <f t="shared" si="13"/>
        <v>15.704918032786885</v>
      </c>
    </row>
    <row r="373" spans="1:4" x14ac:dyDescent="0.2">
      <c r="A373">
        <v>372</v>
      </c>
      <c r="B373">
        <v>0</v>
      </c>
      <c r="C373">
        <f t="shared" si="12"/>
        <v>1102</v>
      </c>
      <c r="D373" s="2">
        <f t="shared" si="13"/>
        <v>15.704918032786885</v>
      </c>
    </row>
    <row r="374" spans="1:4" x14ac:dyDescent="0.2">
      <c r="A374">
        <v>373</v>
      </c>
      <c r="B374">
        <v>0</v>
      </c>
      <c r="C374">
        <f t="shared" si="12"/>
        <v>1103</v>
      </c>
      <c r="D374" s="2">
        <f t="shared" si="13"/>
        <v>15.704918032786885</v>
      </c>
    </row>
    <row r="375" spans="1:4" x14ac:dyDescent="0.2">
      <c r="A375">
        <v>374</v>
      </c>
      <c r="B375">
        <v>0</v>
      </c>
      <c r="C375">
        <f t="shared" si="12"/>
        <v>1104</v>
      </c>
      <c r="D375" s="2">
        <f t="shared" si="13"/>
        <v>15.704918032786885</v>
      </c>
    </row>
    <row r="376" spans="1:4" x14ac:dyDescent="0.2">
      <c r="A376">
        <v>375</v>
      </c>
      <c r="B376">
        <v>0</v>
      </c>
      <c r="C376">
        <f t="shared" si="12"/>
        <v>1105</v>
      </c>
      <c r="D376" s="2">
        <f t="shared" si="13"/>
        <v>15.704918032786885</v>
      </c>
    </row>
    <row r="377" spans="1:4" x14ac:dyDescent="0.2">
      <c r="A377">
        <v>376</v>
      </c>
      <c r="B377">
        <v>0</v>
      </c>
      <c r="C377">
        <f t="shared" si="12"/>
        <v>1106</v>
      </c>
      <c r="D377" s="2">
        <f t="shared" si="13"/>
        <v>15.704918032786885</v>
      </c>
    </row>
    <row r="378" spans="1:4" x14ac:dyDescent="0.2">
      <c r="A378">
        <v>377</v>
      </c>
      <c r="B378">
        <v>0</v>
      </c>
      <c r="C378">
        <f t="shared" si="12"/>
        <v>1107</v>
      </c>
      <c r="D378" s="2">
        <f t="shared" si="13"/>
        <v>15.704918032786885</v>
      </c>
    </row>
    <row r="379" spans="1:4" x14ac:dyDescent="0.2">
      <c r="A379">
        <v>378</v>
      </c>
      <c r="B379">
        <v>0</v>
      </c>
      <c r="C379">
        <f t="shared" si="12"/>
        <v>1108</v>
      </c>
      <c r="D379" s="2">
        <f t="shared" si="13"/>
        <v>15.704918032786885</v>
      </c>
    </row>
    <row r="380" spans="1:4" x14ac:dyDescent="0.2">
      <c r="A380">
        <v>379</v>
      </c>
      <c r="B380">
        <v>0</v>
      </c>
      <c r="C380">
        <f t="shared" si="12"/>
        <v>1109</v>
      </c>
      <c r="D380" s="2">
        <f t="shared" si="13"/>
        <v>15.704918032786885</v>
      </c>
    </row>
    <row r="381" spans="1:4" x14ac:dyDescent="0.2">
      <c r="A381">
        <v>380</v>
      </c>
      <c r="B381">
        <v>0</v>
      </c>
      <c r="C381">
        <f t="shared" si="12"/>
        <v>1110</v>
      </c>
      <c r="D381" s="2">
        <f t="shared" si="13"/>
        <v>15.704918032786885</v>
      </c>
    </row>
    <row r="382" spans="1:4" x14ac:dyDescent="0.2">
      <c r="A382">
        <v>381</v>
      </c>
      <c r="B382">
        <v>0</v>
      </c>
      <c r="C382">
        <f t="shared" si="12"/>
        <v>1111</v>
      </c>
      <c r="D382" s="2">
        <f t="shared" si="13"/>
        <v>15.704918032786885</v>
      </c>
    </row>
    <row r="383" spans="1:4" x14ac:dyDescent="0.2">
      <c r="A383">
        <v>382</v>
      </c>
      <c r="B383">
        <v>0</v>
      </c>
      <c r="C383">
        <f t="shared" si="12"/>
        <v>1112</v>
      </c>
      <c r="D383" s="2">
        <f t="shared" si="13"/>
        <v>15.704918032786885</v>
      </c>
    </row>
    <row r="384" spans="1:4" x14ac:dyDescent="0.2">
      <c r="A384">
        <v>383</v>
      </c>
      <c r="B384">
        <v>0</v>
      </c>
      <c r="C384">
        <f t="shared" si="12"/>
        <v>1113</v>
      </c>
      <c r="D384" s="2">
        <f t="shared" si="13"/>
        <v>15.704918032786885</v>
      </c>
    </row>
    <row r="385" spans="1:4" x14ac:dyDescent="0.2">
      <c r="A385">
        <v>384</v>
      </c>
      <c r="B385">
        <v>0</v>
      </c>
      <c r="C385">
        <f t="shared" si="12"/>
        <v>1114</v>
      </c>
      <c r="D385" s="2">
        <f t="shared" si="13"/>
        <v>15.704918032786885</v>
      </c>
    </row>
    <row r="386" spans="1:4" x14ac:dyDescent="0.2">
      <c r="A386">
        <v>385</v>
      </c>
      <c r="B386">
        <v>0</v>
      </c>
      <c r="C386">
        <f t="shared" si="12"/>
        <v>1115</v>
      </c>
      <c r="D386" s="2">
        <f t="shared" si="13"/>
        <v>15.704918032786885</v>
      </c>
    </row>
    <row r="387" spans="1:4" x14ac:dyDescent="0.2">
      <c r="A387">
        <v>386</v>
      </c>
      <c r="B387">
        <v>0</v>
      </c>
      <c r="C387">
        <f t="shared" ref="C387:C450" si="14">A387+730</f>
        <v>1116</v>
      </c>
      <c r="D387" s="2">
        <f t="shared" si="13"/>
        <v>15.704918032786885</v>
      </c>
    </row>
    <row r="388" spans="1:4" x14ac:dyDescent="0.2">
      <c r="A388">
        <v>387</v>
      </c>
      <c r="B388">
        <v>0</v>
      </c>
      <c r="C388">
        <f t="shared" si="14"/>
        <v>1117</v>
      </c>
      <c r="D388" s="2">
        <f t="shared" ref="D388:D451" si="15">$D$2</f>
        <v>15.704918032786885</v>
      </c>
    </row>
    <row r="389" spans="1:4" x14ac:dyDescent="0.2">
      <c r="A389">
        <v>388</v>
      </c>
      <c r="B389">
        <v>0</v>
      </c>
      <c r="C389">
        <f t="shared" si="14"/>
        <v>1118</v>
      </c>
      <c r="D389" s="2">
        <f t="shared" si="15"/>
        <v>15.704918032786885</v>
      </c>
    </row>
    <row r="390" spans="1:4" x14ac:dyDescent="0.2">
      <c r="A390">
        <v>389</v>
      </c>
      <c r="B390">
        <v>0</v>
      </c>
      <c r="C390">
        <f t="shared" si="14"/>
        <v>1119</v>
      </c>
      <c r="D390" s="2">
        <f t="shared" si="15"/>
        <v>15.704918032786885</v>
      </c>
    </row>
    <row r="391" spans="1:4" x14ac:dyDescent="0.2">
      <c r="A391">
        <v>390</v>
      </c>
      <c r="B391">
        <v>0</v>
      </c>
      <c r="C391">
        <f t="shared" si="14"/>
        <v>1120</v>
      </c>
      <c r="D391" s="2">
        <f t="shared" si="15"/>
        <v>15.704918032786885</v>
      </c>
    </row>
    <row r="392" spans="1:4" x14ac:dyDescent="0.2">
      <c r="A392">
        <v>391</v>
      </c>
      <c r="B392">
        <v>0</v>
      </c>
      <c r="C392">
        <f t="shared" si="14"/>
        <v>1121</v>
      </c>
      <c r="D392" s="2">
        <f t="shared" si="15"/>
        <v>15.704918032786885</v>
      </c>
    </row>
    <row r="393" spans="1:4" x14ac:dyDescent="0.2">
      <c r="A393">
        <v>392</v>
      </c>
      <c r="B393">
        <v>0</v>
      </c>
      <c r="C393">
        <f t="shared" si="14"/>
        <v>1122</v>
      </c>
      <c r="D393" s="2">
        <f t="shared" si="15"/>
        <v>15.704918032786885</v>
      </c>
    </row>
    <row r="394" spans="1:4" x14ac:dyDescent="0.2">
      <c r="A394">
        <v>393</v>
      </c>
      <c r="B394">
        <v>0</v>
      </c>
      <c r="C394">
        <f t="shared" si="14"/>
        <v>1123</v>
      </c>
      <c r="D394" s="2">
        <f t="shared" si="15"/>
        <v>15.704918032786885</v>
      </c>
    </row>
    <row r="395" spans="1:4" x14ac:dyDescent="0.2">
      <c r="A395">
        <v>394</v>
      </c>
      <c r="B395">
        <v>0</v>
      </c>
      <c r="C395">
        <f t="shared" si="14"/>
        <v>1124</v>
      </c>
      <c r="D395" s="2">
        <f t="shared" si="15"/>
        <v>15.704918032786885</v>
      </c>
    </row>
    <row r="396" spans="1:4" x14ac:dyDescent="0.2">
      <c r="A396">
        <v>395</v>
      </c>
      <c r="B396">
        <v>0</v>
      </c>
      <c r="C396">
        <f t="shared" si="14"/>
        <v>1125</v>
      </c>
      <c r="D396" s="2">
        <f t="shared" si="15"/>
        <v>15.704918032786885</v>
      </c>
    </row>
    <row r="397" spans="1:4" x14ac:dyDescent="0.2">
      <c r="A397">
        <v>396</v>
      </c>
      <c r="B397">
        <v>0</v>
      </c>
      <c r="C397">
        <f t="shared" si="14"/>
        <v>1126</v>
      </c>
      <c r="D397" s="2">
        <f t="shared" si="15"/>
        <v>15.704918032786885</v>
      </c>
    </row>
    <row r="398" spans="1:4" x14ac:dyDescent="0.2">
      <c r="A398">
        <v>397</v>
      </c>
      <c r="B398">
        <v>0</v>
      </c>
      <c r="C398">
        <f t="shared" si="14"/>
        <v>1127</v>
      </c>
      <c r="D398" s="2">
        <f t="shared" si="15"/>
        <v>15.704918032786885</v>
      </c>
    </row>
    <row r="399" spans="1:4" x14ac:dyDescent="0.2">
      <c r="A399">
        <v>398</v>
      </c>
      <c r="B399">
        <v>0</v>
      </c>
      <c r="C399">
        <f t="shared" si="14"/>
        <v>1128</v>
      </c>
      <c r="D399" s="2">
        <f t="shared" si="15"/>
        <v>15.704918032786885</v>
      </c>
    </row>
    <row r="400" spans="1:4" x14ac:dyDescent="0.2">
      <c r="A400">
        <v>399</v>
      </c>
      <c r="B400">
        <v>0</v>
      </c>
      <c r="C400">
        <f t="shared" si="14"/>
        <v>1129</v>
      </c>
      <c r="D400" s="2">
        <f t="shared" si="15"/>
        <v>15.704918032786885</v>
      </c>
    </row>
    <row r="401" spans="1:4" x14ac:dyDescent="0.2">
      <c r="A401">
        <v>400</v>
      </c>
      <c r="B401">
        <v>0</v>
      </c>
      <c r="C401">
        <f t="shared" si="14"/>
        <v>1130</v>
      </c>
      <c r="D401" s="2">
        <f t="shared" si="15"/>
        <v>15.704918032786885</v>
      </c>
    </row>
    <row r="402" spans="1:4" x14ac:dyDescent="0.2">
      <c r="A402">
        <v>401</v>
      </c>
      <c r="B402">
        <v>0</v>
      </c>
      <c r="C402">
        <f t="shared" si="14"/>
        <v>1131</v>
      </c>
      <c r="D402" s="2">
        <f t="shared" si="15"/>
        <v>15.704918032786885</v>
      </c>
    </row>
    <row r="403" spans="1:4" x14ac:dyDescent="0.2">
      <c r="A403">
        <v>402</v>
      </c>
      <c r="B403">
        <v>0</v>
      </c>
      <c r="C403">
        <f t="shared" si="14"/>
        <v>1132</v>
      </c>
      <c r="D403" s="2">
        <f t="shared" si="15"/>
        <v>15.704918032786885</v>
      </c>
    </row>
    <row r="404" spans="1:4" x14ac:dyDescent="0.2">
      <c r="A404">
        <v>403</v>
      </c>
      <c r="B404">
        <v>0</v>
      </c>
      <c r="C404">
        <f t="shared" si="14"/>
        <v>1133</v>
      </c>
      <c r="D404" s="2">
        <f t="shared" si="15"/>
        <v>15.704918032786885</v>
      </c>
    </row>
    <row r="405" spans="1:4" x14ac:dyDescent="0.2">
      <c r="A405">
        <v>404</v>
      </c>
      <c r="B405">
        <v>0</v>
      </c>
      <c r="C405">
        <f t="shared" si="14"/>
        <v>1134</v>
      </c>
      <c r="D405" s="2">
        <f t="shared" si="15"/>
        <v>15.704918032786885</v>
      </c>
    </row>
    <row r="406" spans="1:4" x14ac:dyDescent="0.2">
      <c r="A406">
        <v>405</v>
      </c>
      <c r="B406">
        <v>0</v>
      </c>
      <c r="C406">
        <f t="shared" si="14"/>
        <v>1135</v>
      </c>
      <c r="D406" s="2">
        <f t="shared" si="15"/>
        <v>15.704918032786885</v>
      </c>
    </row>
    <row r="407" spans="1:4" x14ac:dyDescent="0.2">
      <c r="A407">
        <v>406</v>
      </c>
      <c r="B407">
        <v>0</v>
      </c>
      <c r="C407">
        <f t="shared" si="14"/>
        <v>1136</v>
      </c>
      <c r="D407" s="2">
        <f t="shared" si="15"/>
        <v>15.704918032786885</v>
      </c>
    </row>
    <row r="408" spans="1:4" x14ac:dyDescent="0.2">
      <c r="A408">
        <v>407</v>
      </c>
      <c r="B408">
        <v>0</v>
      </c>
      <c r="C408">
        <f t="shared" si="14"/>
        <v>1137</v>
      </c>
      <c r="D408" s="2">
        <f t="shared" si="15"/>
        <v>15.704918032786885</v>
      </c>
    </row>
    <row r="409" spans="1:4" x14ac:dyDescent="0.2">
      <c r="A409">
        <v>408</v>
      </c>
      <c r="B409">
        <v>0</v>
      </c>
      <c r="C409">
        <f t="shared" si="14"/>
        <v>1138</v>
      </c>
      <c r="D409" s="2">
        <f t="shared" si="15"/>
        <v>15.704918032786885</v>
      </c>
    </row>
    <row r="410" spans="1:4" x14ac:dyDescent="0.2">
      <c r="A410">
        <v>409</v>
      </c>
      <c r="B410">
        <v>0</v>
      </c>
      <c r="C410">
        <f t="shared" si="14"/>
        <v>1139</v>
      </c>
      <c r="D410" s="2">
        <f t="shared" si="15"/>
        <v>15.704918032786885</v>
      </c>
    </row>
    <row r="411" spans="1:4" x14ac:dyDescent="0.2">
      <c r="A411">
        <v>410</v>
      </c>
      <c r="B411">
        <v>0</v>
      </c>
      <c r="C411">
        <f t="shared" si="14"/>
        <v>1140</v>
      </c>
      <c r="D411" s="2">
        <f t="shared" si="15"/>
        <v>15.704918032786885</v>
      </c>
    </row>
    <row r="412" spans="1:4" x14ac:dyDescent="0.2">
      <c r="A412">
        <v>411</v>
      </c>
      <c r="B412">
        <v>0</v>
      </c>
      <c r="C412">
        <f t="shared" si="14"/>
        <v>1141</v>
      </c>
      <c r="D412" s="2">
        <f t="shared" si="15"/>
        <v>15.704918032786885</v>
      </c>
    </row>
    <row r="413" spans="1:4" x14ac:dyDescent="0.2">
      <c r="A413">
        <v>412</v>
      </c>
      <c r="B413">
        <v>0</v>
      </c>
      <c r="C413">
        <f t="shared" si="14"/>
        <v>1142</v>
      </c>
      <c r="D413" s="2">
        <f t="shared" si="15"/>
        <v>15.704918032786885</v>
      </c>
    </row>
    <row r="414" spans="1:4" x14ac:dyDescent="0.2">
      <c r="A414">
        <v>413</v>
      </c>
      <c r="B414">
        <v>0</v>
      </c>
      <c r="C414">
        <f t="shared" si="14"/>
        <v>1143</v>
      </c>
      <c r="D414" s="2">
        <f t="shared" si="15"/>
        <v>15.704918032786885</v>
      </c>
    </row>
    <row r="415" spans="1:4" x14ac:dyDescent="0.2">
      <c r="A415">
        <v>414</v>
      </c>
      <c r="B415">
        <v>0</v>
      </c>
      <c r="C415">
        <f t="shared" si="14"/>
        <v>1144</v>
      </c>
      <c r="D415" s="2">
        <f t="shared" si="15"/>
        <v>15.704918032786885</v>
      </c>
    </row>
    <row r="416" spans="1:4" x14ac:dyDescent="0.2">
      <c r="A416">
        <v>415</v>
      </c>
      <c r="B416">
        <v>0</v>
      </c>
      <c r="C416">
        <f t="shared" si="14"/>
        <v>1145</v>
      </c>
      <c r="D416" s="2">
        <f t="shared" si="15"/>
        <v>15.704918032786885</v>
      </c>
    </row>
    <row r="417" spans="1:4" x14ac:dyDescent="0.2">
      <c r="A417">
        <v>416</v>
      </c>
      <c r="B417">
        <v>0</v>
      </c>
      <c r="C417">
        <f t="shared" si="14"/>
        <v>1146</v>
      </c>
      <c r="D417" s="2">
        <f t="shared" si="15"/>
        <v>15.704918032786885</v>
      </c>
    </row>
    <row r="418" spans="1:4" x14ac:dyDescent="0.2">
      <c r="A418">
        <v>417</v>
      </c>
      <c r="B418">
        <v>0</v>
      </c>
      <c r="C418">
        <f t="shared" si="14"/>
        <v>1147</v>
      </c>
      <c r="D418" s="2">
        <f t="shared" si="15"/>
        <v>15.704918032786885</v>
      </c>
    </row>
    <row r="419" spans="1:4" x14ac:dyDescent="0.2">
      <c r="A419">
        <v>418</v>
      </c>
      <c r="B419">
        <v>0</v>
      </c>
      <c r="C419">
        <f t="shared" si="14"/>
        <v>1148</v>
      </c>
      <c r="D419" s="2">
        <f t="shared" si="15"/>
        <v>15.704918032786885</v>
      </c>
    </row>
    <row r="420" spans="1:4" x14ac:dyDescent="0.2">
      <c r="A420">
        <v>419</v>
      </c>
      <c r="B420">
        <v>0</v>
      </c>
      <c r="C420">
        <f t="shared" si="14"/>
        <v>1149</v>
      </c>
      <c r="D420" s="2">
        <f t="shared" si="15"/>
        <v>15.704918032786885</v>
      </c>
    </row>
    <row r="421" spans="1:4" x14ac:dyDescent="0.2">
      <c r="A421">
        <v>420</v>
      </c>
      <c r="B421">
        <v>0</v>
      </c>
      <c r="C421">
        <f t="shared" si="14"/>
        <v>1150</v>
      </c>
      <c r="D421" s="2">
        <f t="shared" si="15"/>
        <v>15.704918032786885</v>
      </c>
    </row>
    <row r="422" spans="1:4" x14ac:dyDescent="0.2">
      <c r="A422">
        <v>421</v>
      </c>
      <c r="B422">
        <v>0</v>
      </c>
      <c r="C422">
        <f t="shared" si="14"/>
        <v>1151</v>
      </c>
      <c r="D422" s="2">
        <f t="shared" si="15"/>
        <v>15.704918032786885</v>
      </c>
    </row>
    <row r="423" spans="1:4" x14ac:dyDescent="0.2">
      <c r="A423">
        <v>422</v>
      </c>
      <c r="B423">
        <v>0</v>
      </c>
      <c r="C423">
        <f t="shared" si="14"/>
        <v>1152</v>
      </c>
      <c r="D423" s="2">
        <f t="shared" si="15"/>
        <v>15.704918032786885</v>
      </c>
    </row>
    <row r="424" spans="1:4" x14ac:dyDescent="0.2">
      <c r="A424">
        <v>423</v>
      </c>
      <c r="B424">
        <v>0</v>
      </c>
      <c r="C424">
        <f t="shared" si="14"/>
        <v>1153</v>
      </c>
      <c r="D424" s="2">
        <f t="shared" si="15"/>
        <v>15.704918032786885</v>
      </c>
    </row>
    <row r="425" spans="1:4" x14ac:dyDescent="0.2">
      <c r="A425">
        <v>424</v>
      </c>
      <c r="B425">
        <v>0</v>
      </c>
      <c r="C425">
        <f t="shared" si="14"/>
        <v>1154</v>
      </c>
      <c r="D425" s="2">
        <f t="shared" si="15"/>
        <v>15.704918032786885</v>
      </c>
    </row>
    <row r="426" spans="1:4" x14ac:dyDescent="0.2">
      <c r="A426">
        <v>425</v>
      </c>
      <c r="B426">
        <v>0</v>
      </c>
      <c r="C426">
        <f t="shared" si="14"/>
        <v>1155</v>
      </c>
      <c r="D426" s="2">
        <f t="shared" si="15"/>
        <v>15.704918032786885</v>
      </c>
    </row>
    <row r="427" spans="1:4" x14ac:dyDescent="0.2">
      <c r="A427">
        <v>426</v>
      </c>
      <c r="B427">
        <v>0</v>
      </c>
      <c r="C427">
        <f t="shared" si="14"/>
        <v>1156</v>
      </c>
      <c r="D427" s="2">
        <f t="shared" si="15"/>
        <v>15.704918032786885</v>
      </c>
    </row>
    <row r="428" spans="1:4" x14ac:dyDescent="0.2">
      <c r="A428">
        <v>427</v>
      </c>
      <c r="B428">
        <v>0</v>
      </c>
      <c r="C428">
        <f t="shared" si="14"/>
        <v>1157</v>
      </c>
      <c r="D428" s="2">
        <f t="shared" si="15"/>
        <v>15.704918032786885</v>
      </c>
    </row>
    <row r="429" spans="1:4" x14ac:dyDescent="0.2">
      <c r="A429">
        <v>428</v>
      </c>
      <c r="B429">
        <v>0</v>
      </c>
      <c r="C429">
        <f t="shared" si="14"/>
        <v>1158</v>
      </c>
      <c r="D429" s="2">
        <f t="shared" si="15"/>
        <v>15.704918032786885</v>
      </c>
    </row>
    <row r="430" spans="1:4" x14ac:dyDescent="0.2">
      <c r="A430">
        <v>429</v>
      </c>
      <c r="B430">
        <v>0</v>
      </c>
      <c r="C430">
        <f t="shared" si="14"/>
        <v>1159</v>
      </c>
      <c r="D430" s="2">
        <f t="shared" si="15"/>
        <v>15.704918032786885</v>
      </c>
    </row>
    <row r="431" spans="1:4" x14ac:dyDescent="0.2">
      <c r="A431">
        <v>430</v>
      </c>
      <c r="B431">
        <v>0</v>
      </c>
      <c r="C431">
        <f t="shared" si="14"/>
        <v>1160</v>
      </c>
      <c r="D431" s="2">
        <f t="shared" si="15"/>
        <v>15.704918032786885</v>
      </c>
    </row>
    <row r="432" spans="1:4" x14ac:dyDescent="0.2">
      <c r="A432">
        <v>431</v>
      </c>
      <c r="B432">
        <v>0</v>
      </c>
      <c r="C432">
        <f t="shared" si="14"/>
        <v>1161</v>
      </c>
      <c r="D432" s="2">
        <f t="shared" si="15"/>
        <v>15.704918032786885</v>
      </c>
    </row>
    <row r="433" spans="1:4" x14ac:dyDescent="0.2">
      <c r="A433">
        <v>432</v>
      </c>
      <c r="B433">
        <v>0</v>
      </c>
      <c r="C433">
        <f t="shared" si="14"/>
        <v>1162</v>
      </c>
      <c r="D433" s="2">
        <f t="shared" si="15"/>
        <v>15.704918032786885</v>
      </c>
    </row>
    <row r="434" spans="1:4" x14ac:dyDescent="0.2">
      <c r="A434">
        <v>433</v>
      </c>
      <c r="B434">
        <v>0</v>
      </c>
      <c r="C434">
        <f t="shared" si="14"/>
        <v>1163</v>
      </c>
      <c r="D434" s="2">
        <f t="shared" si="15"/>
        <v>15.704918032786885</v>
      </c>
    </row>
    <row r="435" spans="1:4" x14ac:dyDescent="0.2">
      <c r="A435">
        <v>434</v>
      </c>
      <c r="B435">
        <v>0</v>
      </c>
      <c r="C435">
        <f t="shared" si="14"/>
        <v>1164</v>
      </c>
      <c r="D435" s="2">
        <f t="shared" si="15"/>
        <v>15.704918032786885</v>
      </c>
    </row>
    <row r="436" spans="1:4" x14ac:dyDescent="0.2">
      <c r="A436">
        <v>435</v>
      </c>
      <c r="B436">
        <v>0</v>
      </c>
      <c r="C436">
        <f t="shared" si="14"/>
        <v>1165</v>
      </c>
      <c r="D436" s="2">
        <f t="shared" si="15"/>
        <v>15.704918032786885</v>
      </c>
    </row>
    <row r="437" spans="1:4" x14ac:dyDescent="0.2">
      <c r="A437">
        <v>436</v>
      </c>
      <c r="B437">
        <v>0</v>
      </c>
      <c r="C437">
        <f t="shared" si="14"/>
        <v>1166</v>
      </c>
      <c r="D437" s="2">
        <f t="shared" si="15"/>
        <v>15.704918032786885</v>
      </c>
    </row>
    <row r="438" spans="1:4" x14ac:dyDescent="0.2">
      <c r="A438">
        <v>437</v>
      </c>
      <c r="B438">
        <v>0</v>
      </c>
      <c r="C438">
        <f t="shared" si="14"/>
        <v>1167</v>
      </c>
      <c r="D438" s="2">
        <f t="shared" si="15"/>
        <v>15.704918032786885</v>
      </c>
    </row>
    <row r="439" spans="1:4" x14ac:dyDescent="0.2">
      <c r="A439">
        <v>438</v>
      </c>
      <c r="B439">
        <v>0</v>
      </c>
      <c r="C439">
        <f t="shared" si="14"/>
        <v>1168</v>
      </c>
      <c r="D439" s="2">
        <f t="shared" si="15"/>
        <v>15.704918032786885</v>
      </c>
    </row>
    <row r="440" spans="1:4" x14ac:dyDescent="0.2">
      <c r="A440">
        <v>439</v>
      </c>
      <c r="B440">
        <v>0</v>
      </c>
      <c r="C440">
        <f t="shared" si="14"/>
        <v>1169</v>
      </c>
      <c r="D440" s="2">
        <f t="shared" si="15"/>
        <v>15.704918032786885</v>
      </c>
    </row>
    <row r="441" spans="1:4" x14ac:dyDescent="0.2">
      <c r="A441">
        <v>440</v>
      </c>
      <c r="B441">
        <v>0</v>
      </c>
      <c r="C441">
        <f t="shared" si="14"/>
        <v>1170</v>
      </c>
      <c r="D441" s="2">
        <f t="shared" si="15"/>
        <v>15.704918032786885</v>
      </c>
    </row>
    <row r="442" spans="1:4" x14ac:dyDescent="0.2">
      <c r="A442">
        <v>441</v>
      </c>
      <c r="B442">
        <v>0</v>
      </c>
      <c r="C442">
        <f t="shared" si="14"/>
        <v>1171</v>
      </c>
      <c r="D442" s="2">
        <f t="shared" si="15"/>
        <v>15.704918032786885</v>
      </c>
    </row>
    <row r="443" spans="1:4" x14ac:dyDescent="0.2">
      <c r="A443">
        <v>442</v>
      </c>
      <c r="B443">
        <v>0</v>
      </c>
      <c r="C443">
        <f t="shared" si="14"/>
        <v>1172</v>
      </c>
      <c r="D443" s="2">
        <f t="shared" si="15"/>
        <v>15.704918032786885</v>
      </c>
    </row>
    <row r="444" spans="1:4" x14ac:dyDescent="0.2">
      <c r="A444">
        <v>443</v>
      </c>
      <c r="B444">
        <v>0</v>
      </c>
      <c r="C444">
        <f t="shared" si="14"/>
        <v>1173</v>
      </c>
      <c r="D444" s="2">
        <f t="shared" si="15"/>
        <v>15.704918032786885</v>
      </c>
    </row>
    <row r="445" spans="1:4" x14ac:dyDescent="0.2">
      <c r="A445">
        <v>444</v>
      </c>
      <c r="B445">
        <v>0</v>
      </c>
      <c r="C445">
        <f t="shared" si="14"/>
        <v>1174</v>
      </c>
      <c r="D445" s="2">
        <f t="shared" si="15"/>
        <v>15.704918032786885</v>
      </c>
    </row>
    <row r="446" spans="1:4" x14ac:dyDescent="0.2">
      <c r="A446">
        <v>445</v>
      </c>
      <c r="B446">
        <v>0</v>
      </c>
      <c r="C446">
        <f t="shared" si="14"/>
        <v>1175</v>
      </c>
      <c r="D446" s="2">
        <f t="shared" si="15"/>
        <v>15.704918032786885</v>
      </c>
    </row>
    <row r="447" spans="1:4" x14ac:dyDescent="0.2">
      <c r="A447">
        <v>446</v>
      </c>
      <c r="B447">
        <v>0</v>
      </c>
      <c r="C447">
        <f t="shared" si="14"/>
        <v>1176</v>
      </c>
      <c r="D447" s="2">
        <f t="shared" si="15"/>
        <v>15.704918032786885</v>
      </c>
    </row>
    <row r="448" spans="1:4" x14ac:dyDescent="0.2">
      <c r="A448">
        <v>447</v>
      </c>
      <c r="B448">
        <v>0</v>
      </c>
      <c r="C448">
        <f t="shared" si="14"/>
        <v>1177</v>
      </c>
      <c r="D448" s="2">
        <f t="shared" si="15"/>
        <v>15.704918032786885</v>
      </c>
    </row>
    <row r="449" spans="1:4" x14ac:dyDescent="0.2">
      <c r="A449">
        <v>448</v>
      </c>
      <c r="B449">
        <v>0</v>
      </c>
      <c r="C449">
        <f t="shared" si="14"/>
        <v>1178</v>
      </c>
      <c r="D449" s="2">
        <f t="shared" si="15"/>
        <v>15.704918032786885</v>
      </c>
    </row>
    <row r="450" spans="1:4" x14ac:dyDescent="0.2">
      <c r="A450">
        <v>449</v>
      </c>
      <c r="B450">
        <v>0</v>
      </c>
      <c r="C450">
        <f t="shared" si="14"/>
        <v>1179</v>
      </c>
      <c r="D450" s="2">
        <f t="shared" si="15"/>
        <v>15.704918032786885</v>
      </c>
    </row>
    <row r="451" spans="1:4" x14ac:dyDescent="0.2">
      <c r="A451">
        <v>450</v>
      </c>
      <c r="B451">
        <v>0</v>
      </c>
      <c r="C451">
        <f t="shared" ref="C451:C514" si="16">A451+730</f>
        <v>1180</v>
      </c>
      <c r="D451" s="2">
        <f t="shared" si="15"/>
        <v>15.704918032786885</v>
      </c>
    </row>
    <row r="452" spans="1:4" x14ac:dyDescent="0.2">
      <c r="A452">
        <v>451</v>
      </c>
      <c r="B452">
        <v>0</v>
      </c>
      <c r="C452">
        <f t="shared" si="16"/>
        <v>1181</v>
      </c>
      <c r="D452" s="2">
        <f t="shared" ref="D452:D515" si="17">$D$2</f>
        <v>15.704918032786885</v>
      </c>
    </row>
    <row r="453" spans="1:4" x14ac:dyDescent="0.2">
      <c r="A453">
        <v>452</v>
      </c>
      <c r="B453">
        <v>0</v>
      </c>
      <c r="C453">
        <f t="shared" si="16"/>
        <v>1182</v>
      </c>
      <c r="D453" s="2">
        <f t="shared" si="17"/>
        <v>15.704918032786885</v>
      </c>
    </row>
    <row r="454" spans="1:4" x14ac:dyDescent="0.2">
      <c r="A454">
        <v>453</v>
      </c>
      <c r="B454">
        <v>0</v>
      </c>
      <c r="C454">
        <f t="shared" si="16"/>
        <v>1183</v>
      </c>
      <c r="D454" s="2">
        <f t="shared" si="17"/>
        <v>15.704918032786885</v>
      </c>
    </row>
    <row r="455" spans="1:4" x14ac:dyDescent="0.2">
      <c r="A455">
        <v>454</v>
      </c>
      <c r="B455">
        <v>0</v>
      </c>
      <c r="C455">
        <f t="shared" si="16"/>
        <v>1184</v>
      </c>
      <c r="D455" s="2">
        <f t="shared" si="17"/>
        <v>15.704918032786885</v>
      </c>
    </row>
    <row r="456" spans="1:4" x14ac:dyDescent="0.2">
      <c r="A456">
        <v>455</v>
      </c>
      <c r="B456">
        <v>0</v>
      </c>
      <c r="C456">
        <f t="shared" si="16"/>
        <v>1185</v>
      </c>
      <c r="D456" s="2">
        <f t="shared" si="17"/>
        <v>15.704918032786885</v>
      </c>
    </row>
    <row r="457" spans="1:4" x14ac:dyDescent="0.2">
      <c r="A457">
        <v>456</v>
      </c>
      <c r="B457">
        <v>0</v>
      </c>
      <c r="C457">
        <f t="shared" si="16"/>
        <v>1186</v>
      </c>
      <c r="D457" s="2">
        <f t="shared" si="17"/>
        <v>15.704918032786885</v>
      </c>
    </row>
    <row r="458" spans="1:4" x14ac:dyDescent="0.2">
      <c r="A458">
        <v>457</v>
      </c>
      <c r="B458">
        <v>0</v>
      </c>
      <c r="C458">
        <f t="shared" si="16"/>
        <v>1187</v>
      </c>
      <c r="D458" s="2">
        <f t="shared" si="17"/>
        <v>15.704918032786885</v>
      </c>
    </row>
    <row r="459" spans="1:4" x14ac:dyDescent="0.2">
      <c r="A459">
        <v>458</v>
      </c>
      <c r="B459">
        <v>0</v>
      </c>
      <c r="C459">
        <f t="shared" si="16"/>
        <v>1188</v>
      </c>
      <c r="D459" s="2">
        <f t="shared" si="17"/>
        <v>15.704918032786885</v>
      </c>
    </row>
    <row r="460" spans="1:4" x14ac:dyDescent="0.2">
      <c r="A460">
        <v>459</v>
      </c>
      <c r="B460">
        <v>0</v>
      </c>
      <c r="C460">
        <f t="shared" si="16"/>
        <v>1189</v>
      </c>
      <c r="D460" s="2">
        <f t="shared" si="17"/>
        <v>15.704918032786885</v>
      </c>
    </row>
    <row r="461" spans="1:4" x14ac:dyDescent="0.2">
      <c r="A461">
        <v>460</v>
      </c>
      <c r="B461">
        <v>0</v>
      </c>
      <c r="C461">
        <f t="shared" si="16"/>
        <v>1190</v>
      </c>
      <c r="D461" s="2">
        <f t="shared" si="17"/>
        <v>15.704918032786885</v>
      </c>
    </row>
    <row r="462" spans="1:4" x14ac:dyDescent="0.2">
      <c r="A462">
        <v>461</v>
      </c>
      <c r="B462">
        <v>0</v>
      </c>
      <c r="C462">
        <f t="shared" si="16"/>
        <v>1191</v>
      </c>
      <c r="D462" s="2">
        <f t="shared" si="17"/>
        <v>15.704918032786885</v>
      </c>
    </row>
    <row r="463" spans="1:4" x14ac:dyDescent="0.2">
      <c r="A463">
        <v>462</v>
      </c>
      <c r="B463">
        <v>0</v>
      </c>
      <c r="C463">
        <f t="shared" si="16"/>
        <v>1192</v>
      </c>
      <c r="D463" s="2">
        <f t="shared" si="17"/>
        <v>15.704918032786885</v>
      </c>
    </row>
    <row r="464" spans="1:4" x14ac:dyDescent="0.2">
      <c r="A464">
        <v>463</v>
      </c>
      <c r="B464">
        <v>0</v>
      </c>
      <c r="C464">
        <f t="shared" si="16"/>
        <v>1193</v>
      </c>
      <c r="D464" s="2">
        <f t="shared" si="17"/>
        <v>15.704918032786885</v>
      </c>
    </row>
    <row r="465" spans="1:4" x14ac:dyDescent="0.2">
      <c r="A465">
        <v>464</v>
      </c>
      <c r="B465">
        <v>0</v>
      </c>
      <c r="C465">
        <f t="shared" si="16"/>
        <v>1194</v>
      </c>
      <c r="D465" s="2">
        <f t="shared" si="17"/>
        <v>15.704918032786885</v>
      </c>
    </row>
    <row r="466" spans="1:4" x14ac:dyDescent="0.2">
      <c r="A466">
        <v>465</v>
      </c>
      <c r="B466">
        <v>0</v>
      </c>
      <c r="C466">
        <f t="shared" si="16"/>
        <v>1195</v>
      </c>
      <c r="D466" s="2">
        <f t="shared" si="17"/>
        <v>15.704918032786885</v>
      </c>
    </row>
    <row r="467" spans="1:4" x14ac:dyDescent="0.2">
      <c r="A467">
        <v>466</v>
      </c>
      <c r="B467">
        <v>0</v>
      </c>
      <c r="C467">
        <f t="shared" si="16"/>
        <v>1196</v>
      </c>
      <c r="D467" s="2">
        <f t="shared" si="17"/>
        <v>15.704918032786885</v>
      </c>
    </row>
    <row r="468" spans="1:4" x14ac:dyDescent="0.2">
      <c r="A468">
        <v>467</v>
      </c>
      <c r="B468">
        <v>0</v>
      </c>
      <c r="C468">
        <f t="shared" si="16"/>
        <v>1197</v>
      </c>
      <c r="D468" s="2">
        <f t="shared" si="17"/>
        <v>15.704918032786885</v>
      </c>
    </row>
    <row r="469" spans="1:4" x14ac:dyDescent="0.2">
      <c r="A469">
        <v>468</v>
      </c>
      <c r="B469">
        <v>0</v>
      </c>
      <c r="C469">
        <f t="shared" si="16"/>
        <v>1198</v>
      </c>
      <c r="D469" s="2">
        <f t="shared" si="17"/>
        <v>15.704918032786885</v>
      </c>
    </row>
    <row r="470" spans="1:4" x14ac:dyDescent="0.2">
      <c r="A470">
        <v>469</v>
      </c>
      <c r="B470">
        <v>0</v>
      </c>
      <c r="C470">
        <f t="shared" si="16"/>
        <v>1199</v>
      </c>
      <c r="D470" s="2">
        <f t="shared" si="17"/>
        <v>15.704918032786885</v>
      </c>
    </row>
    <row r="471" spans="1:4" x14ac:dyDescent="0.2">
      <c r="A471">
        <v>470</v>
      </c>
      <c r="B471">
        <v>0</v>
      </c>
      <c r="C471">
        <f t="shared" si="16"/>
        <v>1200</v>
      </c>
      <c r="D471" s="2">
        <f t="shared" si="17"/>
        <v>15.704918032786885</v>
      </c>
    </row>
    <row r="472" spans="1:4" x14ac:dyDescent="0.2">
      <c r="A472">
        <v>471</v>
      </c>
      <c r="B472">
        <v>0</v>
      </c>
      <c r="C472">
        <f t="shared" si="16"/>
        <v>1201</v>
      </c>
      <c r="D472" s="2">
        <f t="shared" si="17"/>
        <v>15.704918032786885</v>
      </c>
    </row>
    <row r="473" spans="1:4" x14ac:dyDescent="0.2">
      <c r="A473">
        <v>472</v>
      </c>
      <c r="B473">
        <v>0</v>
      </c>
      <c r="C473">
        <f t="shared" si="16"/>
        <v>1202</v>
      </c>
      <c r="D473" s="2">
        <f t="shared" si="17"/>
        <v>15.704918032786885</v>
      </c>
    </row>
    <row r="474" spans="1:4" x14ac:dyDescent="0.2">
      <c r="A474">
        <v>473</v>
      </c>
      <c r="B474">
        <v>0</v>
      </c>
      <c r="C474">
        <f t="shared" si="16"/>
        <v>1203</v>
      </c>
      <c r="D474" s="2">
        <f t="shared" si="17"/>
        <v>15.704918032786885</v>
      </c>
    </row>
    <row r="475" spans="1:4" x14ac:dyDescent="0.2">
      <c r="A475">
        <v>474</v>
      </c>
      <c r="B475">
        <v>0</v>
      </c>
      <c r="C475">
        <f t="shared" si="16"/>
        <v>1204</v>
      </c>
      <c r="D475" s="2">
        <f t="shared" si="17"/>
        <v>15.704918032786885</v>
      </c>
    </row>
    <row r="476" spans="1:4" x14ac:dyDescent="0.2">
      <c r="A476">
        <v>475</v>
      </c>
      <c r="B476">
        <v>0</v>
      </c>
      <c r="C476">
        <f t="shared" si="16"/>
        <v>1205</v>
      </c>
      <c r="D476" s="2">
        <f t="shared" si="17"/>
        <v>15.704918032786885</v>
      </c>
    </row>
    <row r="477" spans="1:4" x14ac:dyDescent="0.2">
      <c r="A477">
        <v>476</v>
      </c>
      <c r="B477">
        <v>0</v>
      </c>
      <c r="C477">
        <f t="shared" si="16"/>
        <v>1206</v>
      </c>
      <c r="D477" s="2">
        <f t="shared" si="17"/>
        <v>15.704918032786885</v>
      </c>
    </row>
    <row r="478" spans="1:4" x14ac:dyDescent="0.2">
      <c r="A478">
        <v>477</v>
      </c>
      <c r="B478">
        <v>0</v>
      </c>
      <c r="C478">
        <f t="shared" si="16"/>
        <v>1207</v>
      </c>
      <c r="D478" s="2">
        <f t="shared" si="17"/>
        <v>15.704918032786885</v>
      </c>
    </row>
    <row r="479" spans="1:4" x14ac:dyDescent="0.2">
      <c r="A479">
        <v>478</v>
      </c>
      <c r="B479">
        <v>0</v>
      </c>
      <c r="C479">
        <f t="shared" si="16"/>
        <v>1208</v>
      </c>
      <c r="D479" s="2">
        <f t="shared" si="17"/>
        <v>15.704918032786885</v>
      </c>
    </row>
    <row r="480" spans="1:4" x14ac:dyDescent="0.2">
      <c r="A480">
        <v>479</v>
      </c>
      <c r="B480">
        <v>0</v>
      </c>
      <c r="C480">
        <f t="shared" si="16"/>
        <v>1209</v>
      </c>
      <c r="D480" s="2">
        <f t="shared" si="17"/>
        <v>15.704918032786885</v>
      </c>
    </row>
    <row r="481" spans="1:4" x14ac:dyDescent="0.2">
      <c r="A481">
        <v>480</v>
      </c>
      <c r="B481">
        <v>0</v>
      </c>
      <c r="C481">
        <f t="shared" si="16"/>
        <v>1210</v>
      </c>
      <c r="D481" s="2">
        <f t="shared" si="17"/>
        <v>15.704918032786885</v>
      </c>
    </row>
    <row r="482" spans="1:4" x14ac:dyDescent="0.2">
      <c r="A482">
        <v>481</v>
      </c>
      <c r="B482">
        <v>0</v>
      </c>
      <c r="C482">
        <f t="shared" si="16"/>
        <v>1211</v>
      </c>
      <c r="D482" s="2">
        <f t="shared" si="17"/>
        <v>15.704918032786885</v>
      </c>
    </row>
    <row r="483" spans="1:4" x14ac:dyDescent="0.2">
      <c r="A483">
        <v>482</v>
      </c>
      <c r="B483">
        <v>0</v>
      </c>
      <c r="C483">
        <f t="shared" si="16"/>
        <v>1212</v>
      </c>
      <c r="D483" s="2">
        <f t="shared" si="17"/>
        <v>15.704918032786885</v>
      </c>
    </row>
    <row r="484" spans="1:4" x14ac:dyDescent="0.2">
      <c r="A484">
        <v>483</v>
      </c>
      <c r="B484">
        <v>0</v>
      </c>
      <c r="C484">
        <f t="shared" si="16"/>
        <v>1213</v>
      </c>
      <c r="D484" s="2">
        <f t="shared" si="17"/>
        <v>15.704918032786885</v>
      </c>
    </row>
    <row r="485" spans="1:4" x14ac:dyDescent="0.2">
      <c r="A485">
        <v>484</v>
      </c>
      <c r="B485">
        <v>0</v>
      </c>
      <c r="C485">
        <f t="shared" si="16"/>
        <v>1214</v>
      </c>
      <c r="D485" s="2">
        <f t="shared" si="17"/>
        <v>15.704918032786885</v>
      </c>
    </row>
    <row r="486" spans="1:4" x14ac:dyDescent="0.2">
      <c r="A486">
        <v>485</v>
      </c>
      <c r="B486">
        <v>0</v>
      </c>
      <c r="C486">
        <f t="shared" si="16"/>
        <v>1215</v>
      </c>
      <c r="D486" s="2">
        <f t="shared" si="17"/>
        <v>15.704918032786885</v>
      </c>
    </row>
    <row r="487" spans="1:4" x14ac:dyDescent="0.2">
      <c r="A487">
        <v>486</v>
      </c>
      <c r="B487">
        <v>0</v>
      </c>
      <c r="C487">
        <f t="shared" si="16"/>
        <v>1216</v>
      </c>
      <c r="D487" s="2">
        <f t="shared" si="17"/>
        <v>15.704918032786885</v>
      </c>
    </row>
    <row r="488" spans="1:4" x14ac:dyDescent="0.2">
      <c r="A488">
        <v>487</v>
      </c>
      <c r="B488">
        <v>0</v>
      </c>
      <c r="C488">
        <f t="shared" si="16"/>
        <v>1217</v>
      </c>
      <c r="D488" s="2">
        <f t="shared" si="17"/>
        <v>15.704918032786885</v>
      </c>
    </row>
    <row r="489" spans="1:4" x14ac:dyDescent="0.2">
      <c r="A489">
        <v>488</v>
      </c>
      <c r="B489">
        <v>0</v>
      </c>
      <c r="C489">
        <f t="shared" si="16"/>
        <v>1218</v>
      </c>
      <c r="D489" s="2">
        <f t="shared" si="17"/>
        <v>15.704918032786885</v>
      </c>
    </row>
    <row r="490" spans="1:4" x14ac:dyDescent="0.2">
      <c r="A490">
        <v>489</v>
      </c>
      <c r="B490">
        <v>0</v>
      </c>
      <c r="C490">
        <f t="shared" si="16"/>
        <v>1219</v>
      </c>
      <c r="D490" s="2">
        <f t="shared" si="17"/>
        <v>15.704918032786885</v>
      </c>
    </row>
    <row r="491" spans="1:4" x14ac:dyDescent="0.2">
      <c r="A491">
        <v>490</v>
      </c>
      <c r="B491">
        <v>0</v>
      </c>
      <c r="C491">
        <f t="shared" si="16"/>
        <v>1220</v>
      </c>
      <c r="D491" s="2">
        <f t="shared" si="17"/>
        <v>15.704918032786885</v>
      </c>
    </row>
    <row r="492" spans="1:4" x14ac:dyDescent="0.2">
      <c r="A492">
        <v>491</v>
      </c>
      <c r="B492">
        <v>0</v>
      </c>
      <c r="C492">
        <f t="shared" si="16"/>
        <v>1221</v>
      </c>
      <c r="D492" s="2">
        <f t="shared" si="17"/>
        <v>15.704918032786885</v>
      </c>
    </row>
    <row r="493" spans="1:4" x14ac:dyDescent="0.2">
      <c r="A493">
        <v>492</v>
      </c>
      <c r="B493">
        <v>0</v>
      </c>
      <c r="C493">
        <f t="shared" si="16"/>
        <v>1222</v>
      </c>
      <c r="D493" s="2">
        <f t="shared" si="17"/>
        <v>15.704918032786885</v>
      </c>
    </row>
    <row r="494" spans="1:4" x14ac:dyDescent="0.2">
      <c r="A494">
        <v>493</v>
      </c>
      <c r="B494">
        <v>0</v>
      </c>
      <c r="C494">
        <f t="shared" si="16"/>
        <v>1223</v>
      </c>
      <c r="D494" s="2">
        <f t="shared" si="17"/>
        <v>15.704918032786885</v>
      </c>
    </row>
    <row r="495" spans="1:4" x14ac:dyDescent="0.2">
      <c r="A495">
        <v>494</v>
      </c>
      <c r="B495">
        <v>0</v>
      </c>
      <c r="C495">
        <f t="shared" si="16"/>
        <v>1224</v>
      </c>
      <c r="D495" s="2">
        <f t="shared" si="17"/>
        <v>15.704918032786885</v>
      </c>
    </row>
    <row r="496" spans="1:4" x14ac:dyDescent="0.2">
      <c r="A496">
        <v>495</v>
      </c>
      <c r="B496">
        <v>0</v>
      </c>
      <c r="C496">
        <f t="shared" si="16"/>
        <v>1225</v>
      </c>
      <c r="D496" s="2">
        <f t="shared" si="17"/>
        <v>15.704918032786885</v>
      </c>
    </row>
    <row r="497" spans="1:4" x14ac:dyDescent="0.2">
      <c r="A497">
        <v>496</v>
      </c>
      <c r="B497">
        <v>0</v>
      </c>
      <c r="C497">
        <f t="shared" si="16"/>
        <v>1226</v>
      </c>
      <c r="D497" s="2">
        <f t="shared" si="17"/>
        <v>15.704918032786885</v>
      </c>
    </row>
    <row r="498" spans="1:4" x14ac:dyDescent="0.2">
      <c r="A498">
        <v>497</v>
      </c>
      <c r="B498">
        <v>0</v>
      </c>
      <c r="C498">
        <f t="shared" si="16"/>
        <v>1227</v>
      </c>
      <c r="D498" s="2">
        <f t="shared" si="17"/>
        <v>15.704918032786885</v>
      </c>
    </row>
    <row r="499" spans="1:4" x14ac:dyDescent="0.2">
      <c r="A499">
        <v>498</v>
      </c>
      <c r="B499">
        <v>0</v>
      </c>
      <c r="C499">
        <f t="shared" si="16"/>
        <v>1228</v>
      </c>
      <c r="D499" s="2">
        <f t="shared" si="17"/>
        <v>15.704918032786885</v>
      </c>
    </row>
    <row r="500" spans="1:4" x14ac:dyDescent="0.2">
      <c r="A500">
        <v>499</v>
      </c>
      <c r="B500">
        <v>0</v>
      </c>
      <c r="C500">
        <f t="shared" si="16"/>
        <v>1229</v>
      </c>
      <c r="D500" s="2">
        <f t="shared" si="17"/>
        <v>15.704918032786885</v>
      </c>
    </row>
    <row r="501" spans="1:4" x14ac:dyDescent="0.2">
      <c r="A501">
        <v>500</v>
      </c>
      <c r="B501">
        <v>0</v>
      </c>
      <c r="C501">
        <f t="shared" si="16"/>
        <v>1230</v>
      </c>
      <c r="D501" s="2">
        <f t="shared" si="17"/>
        <v>15.704918032786885</v>
      </c>
    </row>
    <row r="502" spans="1:4" x14ac:dyDescent="0.2">
      <c r="A502">
        <v>501</v>
      </c>
      <c r="B502">
        <v>0</v>
      </c>
      <c r="C502">
        <f t="shared" si="16"/>
        <v>1231</v>
      </c>
      <c r="D502" s="2">
        <f t="shared" si="17"/>
        <v>15.704918032786885</v>
      </c>
    </row>
    <row r="503" spans="1:4" x14ac:dyDescent="0.2">
      <c r="A503">
        <v>502</v>
      </c>
      <c r="B503">
        <v>0</v>
      </c>
      <c r="C503">
        <f t="shared" si="16"/>
        <v>1232</v>
      </c>
      <c r="D503" s="2">
        <f t="shared" si="17"/>
        <v>15.704918032786885</v>
      </c>
    </row>
    <row r="504" spans="1:4" x14ac:dyDescent="0.2">
      <c r="A504">
        <v>503</v>
      </c>
      <c r="B504">
        <v>0</v>
      </c>
      <c r="C504">
        <f t="shared" si="16"/>
        <v>1233</v>
      </c>
      <c r="D504" s="2">
        <f t="shared" si="17"/>
        <v>15.704918032786885</v>
      </c>
    </row>
    <row r="505" spans="1:4" x14ac:dyDescent="0.2">
      <c r="A505">
        <v>504</v>
      </c>
      <c r="B505">
        <v>0</v>
      </c>
      <c r="C505">
        <f t="shared" si="16"/>
        <v>1234</v>
      </c>
      <c r="D505" s="2">
        <f t="shared" si="17"/>
        <v>15.704918032786885</v>
      </c>
    </row>
    <row r="506" spans="1:4" x14ac:dyDescent="0.2">
      <c r="A506">
        <v>505</v>
      </c>
      <c r="B506">
        <v>0</v>
      </c>
      <c r="C506">
        <f t="shared" si="16"/>
        <v>1235</v>
      </c>
      <c r="D506" s="2">
        <f t="shared" si="17"/>
        <v>15.704918032786885</v>
      </c>
    </row>
    <row r="507" spans="1:4" x14ac:dyDescent="0.2">
      <c r="A507">
        <v>506</v>
      </c>
      <c r="B507">
        <v>0</v>
      </c>
      <c r="C507">
        <f t="shared" si="16"/>
        <v>1236</v>
      </c>
      <c r="D507" s="2">
        <f t="shared" si="17"/>
        <v>15.704918032786885</v>
      </c>
    </row>
    <row r="508" spans="1:4" x14ac:dyDescent="0.2">
      <c r="A508">
        <v>507</v>
      </c>
      <c r="B508">
        <v>0</v>
      </c>
      <c r="C508">
        <f t="shared" si="16"/>
        <v>1237</v>
      </c>
      <c r="D508" s="2">
        <f t="shared" si="17"/>
        <v>15.704918032786885</v>
      </c>
    </row>
    <row r="509" spans="1:4" x14ac:dyDescent="0.2">
      <c r="A509">
        <v>508</v>
      </c>
      <c r="B509">
        <v>0</v>
      </c>
      <c r="C509">
        <f t="shared" si="16"/>
        <v>1238</v>
      </c>
      <c r="D509" s="2">
        <f t="shared" si="17"/>
        <v>15.704918032786885</v>
      </c>
    </row>
    <row r="510" spans="1:4" x14ac:dyDescent="0.2">
      <c r="A510">
        <v>509</v>
      </c>
      <c r="B510">
        <v>0</v>
      </c>
      <c r="C510">
        <f t="shared" si="16"/>
        <v>1239</v>
      </c>
      <c r="D510" s="2">
        <f t="shared" si="17"/>
        <v>15.704918032786885</v>
      </c>
    </row>
    <row r="511" spans="1:4" x14ac:dyDescent="0.2">
      <c r="A511">
        <v>510</v>
      </c>
      <c r="B511">
        <v>0</v>
      </c>
      <c r="C511">
        <f t="shared" si="16"/>
        <v>1240</v>
      </c>
      <c r="D511" s="2">
        <f t="shared" si="17"/>
        <v>15.704918032786885</v>
      </c>
    </row>
    <row r="512" spans="1:4" x14ac:dyDescent="0.2">
      <c r="A512">
        <v>511</v>
      </c>
      <c r="B512">
        <v>0</v>
      </c>
      <c r="C512">
        <f t="shared" si="16"/>
        <v>1241</v>
      </c>
      <c r="D512" s="2">
        <f t="shared" si="17"/>
        <v>15.704918032786885</v>
      </c>
    </row>
    <row r="513" spans="1:4" x14ac:dyDescent="0.2">
      <c r="A513">
        <v>512</v>
      </c>
      <c r="B513">
        <v>0</v>
      </c>
      <c r="C513">
        <f t="shared" si="16"/>
        <v>1242</v>
      </c>
      <c r="D513" s="2">
        <f t="shared" si="17"/>
        <v>15.704918032786885</v>
      </c>
    </row>
    <row r="514" spans="1:4" x14ac:dyDescent="0.2">
      <c r="A514">
        <v>513</v>
      </c>
      <c r="B514">
        <v>0</v>
      </c>
      <c r="C514">
        <f t="shared" si="16"/>
        <v>1243</v>
      </c>
      <c r="D514" s="2">
        <f t="shared" si="17"/>
        <v>15.704918032786885</v>
      </c>
    </row>
    <row r="515" spans="1:4" x14ac:dyDescent="0.2">
      <c r="A515">
        <v>514</v>
      </c>
      <c r="B515">
        <v>0</v>
      </c>
      <c r="C515">
        <f t="shared" ref="C515:C578" si="18">A515+730</f>
        <v>1244</v>
      </c>
      <c r="D515" s="2">
        <f t="shared" si="17"/>
        <v>15.704918032786885</v>
      </c>
    </row>
    <row r="516" spans="1:4" x14ac:dyDescent="0.2">
      <c r="A516">
        <v>515</v>
      </c>
      <c r="B516">
        <v>0</v>
      </c>
      <c r="C516">
        <f t="shared" si="18"/>
        <v>1245</v>
      </c>
      <c r="D516" s="2">
        <f t="shared" ref="D516:D579" si="19">$D$2</f>
        <v>15.704918032786885</v>
      </c>
    </row>
    <row r="517" spans="1:4" x14ac:dyDescent="0.2">
      <c r="A517">
        <v>516</v>
      </c>
      <c r="B517">
        <v>0</v>
      </c>
      <c r="C517">
        <f t="shared" si="18"/>
        <v>1246</v>
      </c>
      <c r="D517" s="2">
        <f t="shared" si="19"/>
        <v>15.704918032786885</v>
      </c>
    </row>
    <row r="518" spans="1:4" x14ac:dyDescent="0.2">
      <c r="A518">
        <v>517</v>
      </c>
      <c r="B518">
        <v>0</v>
      </c>
      <c r="C518">
        <f t="shared" si="18"/>
        <v>1247</v>
      </c>
      <c r="D518" s="2">
        <f t="shared" si="19"/>
        <v>15.704918032786885</v>
      </c>
    </row>
    <row r="519" spans="1:4" x14ac:dyDescent="0.2">
      <c r="A519">
        <v>518</v>
      </c>
      <c r="B519">
        <v>0</v>
      </c>
      <c r="C519">
        <f t="shared" si="18"/>
        <v>1248</v>
      </c>
      <c r="D519" s="2">
        <f t="shared" si="19"/>
        <v>15.704918032786885</v>
      </c>
    </row>
    <row r="520" spans="1:4" x14ac:dyDescent="0.2">
      <c r="A520">
        <v>519</v>
      </c>
      <c r="B520">
        <v>0</v>
      </c>
      <c r="C520">
        <f t="shared" si="18"/>
        <v>1249</v>
      </c>
      <c r="D520" s="2">
        <f t="shared" si="19"/>
        <v>15.704918032786885</v>
      </c>
    </row>
    <row r="521" spans="1:4" x14ac:dyDescent="0.2">
      <c r="A521">
        <v>520</v>
      </c>
      <c r="B521">
        <v>0</v>
      </c>
      <c r="C521">
        <f t="shared" si="18"/>
        <v>1250</v>
      </c>
      <c r="D521" s="2">
        <f t="shared" si="19"/>
        <v>15.704918032786885</v>
      </c>
    </row>
    <row r="522" spans="1:4" x14ac:dyDescent="0.2">
      <c r="A522">
        <v>521</v>
      </c>
      <c r="B522">
        <v>0</v>
      </c>
      <c r="C522">
        <f t="shared" si="18"/>
        <v>1251</v>
      </c>
      <c r="D522" s="2">
        <f t="shared" si="19"/>
        <v>15.704918032786885</v>
      </c>
    </row>
    <row r="523" spans="1:4" x14ac:dyDescent="0.2">
      <c r="A523">
        <v>522</v>
      </c>
      <c r="B523">
        <v>0</v>
      </c>
      <c r="C523">
        <f t="shared" si="18"/>
        <v>1252</v>
      </c>
      <c r="D523" s="2">
        <f t="shared" si="19"/>
        <v>15.704918032786885</v>
      </c>
    </row>
    <row r="524" spans="1:4" x14ac:dyDescent="0.2">
      <c r="A524">
        <v>523</v>
      </c>
      <c r="B524">
        <v>0</v>
      </c>
      <c r="C524">
        <f t="shared" si="18"/>
        <v>1253</v>
      </c>
      <c r="D524" s="2">
        <f t="shared" si="19"/>
        <v>15.704918032786885</v>
      </c>
    </row>
    <row r="525" spans="1:4" x14ac:dyDescent="0.2">
      <c r="A525">
        <v>524</v>
      </c>
      <c r="B525">
        <v>0</v>
      </c>
      <c r="C525">
        <f t="shared" si="18"/>
        <v>1254</v>
      </c>
      <c r="D525" s="2">
        <f t="shared" si="19"/>
        <v>15.704918032786885</v>
      </c>
    </row>
    <row r="526" spans="1:4" x14ac:dyDescent="0.2">
      <c r="A526">
        <v>525</v>
      </c>
      <c r="B526">
        <v>0</v>
      </c>
      <c r="C526">
        <f t="shared" si="18"/>
        <v>1255</v>
      </c>
      <c r="D526" s="2">
        <f t="shared" si="19"/>
        <v>15.704918032786885</v>
      </c>
    </row>
    <row r="527" spans="1:4" x14ac:dyDescent="0.2">
      <c r="A527">
        <v>526</v>
      </c>
      <c r="B527">
        <v>0</v>
      </c>
      <c r="C527">
        <f t="shared" si="18"/>
        <v>1256</v>
      </c>
      <c r="D527" s="2">
        <f t="shared" si="19"/>
        <v>15.704918032786885</v>
      </c>
    </row>
    <row r="528" spans="1:4" x14ac:dyDescent="0.2">
      <c r="A528">
        <v>527</v>
      </c>
      <c r="B528">
        <v>0</v>
      </c>
      <c r="C528">
        <f t="shared" si="18"/>
        <v>1257</v>
      </c>
      <c r="D528" s="2">
        <f t="shared" si="19"/>
        <v>15.704918032786885</v>
      </c>
    </row>
    <row r="529" spans="1:4" x14ac:dyDescent="0.2">
      <c r="A529">
        <v>528</v>
      </c>
      <c r="B529">
        <v>0</v>
      </c>
      <c r="C529">
        <f t="shared" si="18"/>
        <v>1258</v>
      </c>
      <c r="D529" s="2">
        <f t="shared" si="19"/>
        <v>15.704918032786885</v>
      </c>
    </row>
    <row r="530" spans="1:4" x14ac:dyDescent="0.2">
      <c r="A530">
        <v>529</v>
      </c>
      <c r="B530">
        <v>0</v>
      </c>
      <c r="C530">
        <f t="shared" si="18"/>
        <v>1259</v>
      </c>
      <c r="D530" s="2">
        <f t="shared" si="19"/>
        <v>15.704918032786885</v>
      </c>
    </row>
    <row r="531" spans="1:4" x14ac:dyDescent="0.2">
      <c r="A531">
        <v>530</v>
      </c>
      <c r="B531">
        <v>0</v>
      </c>
      <c r="C531">
        <f t="shared" si="18"/>
        <v>1260</v>
      </c>
      <c r="D531" s="2">
        <f t="shared" si="19"/>
        <v>15.704918032786885</v>
      </c>
    </row>
    <row r="532" spans="1:4" x14ac:dyDescent="0.2">
      <c r="A532">
        <v>531</v>
      </c>
      <c r="B532">
        <v>0</v>
      </c>
      <c r="C532">
        <f t="shared" si="18"/>
        <v>1261</v>
      </c>
      <c r="D532" s="2">
        <f t="shared" si="19"/>
        <v>15.704918032786885</v>
      </c>
    </row>
    <row r="533" spans="1:4" x14ac:dyDescent="0.2">
      <c r="A533">
        <v>532</v>
      </c>
      <c r="B533">
        <v>0</v>
      </c>
      <c r="C533">
        <f t="shared" si="18"/>
        <v>1262</v>
      </c>
      <c r="D533" s="2">
        <f t="shared" si="19"/>
        <v>15.704918032786885</v>
      </c>
    </row>
    <row r="534" spans="1:4" x14ac:dyDescent="0.2">
      <c r="A534">
        <v>533</v>
      </c>
      <c r="B534">
        <v>0</v>
      </c>
      <c r="C534">
        <f t="shared" si="18"/>
        <v>1263</v>
      </c>
      <c r="D534" s="2">
        <f t="shared" si="19"/>
        <v>15.704918032786885</v>
      </c>
    </row>
    <row r="535" spans="1:4" x14ac:dyDescent="0.2">
      <c r="A535">
        <v>534</v>
      </c>
      <c r="B535">
        <v>0</v>
      </c>
      <c r="C535">
        <f t="shared" si="18"/>
        <v>1264</v>
      </c>
      <c r="D535" s="2">
        <f t="shared" si="19"/>
        <v>15.704918032786885</v>
      </c>
    </row>
    <row r="536" spans="1:4" x14ac:dyDescent="0.2">
      <c r="A536">
        <v>535</v>
      </c>
      <c r="B536">
        <v>0</v>
      </c>
      <c r="C536">
        <f t="shared" si="18"/>
        <v>1265</v>
      </c>
      <c r="D536" s="2">
        <f t="shared" si="19"/>
        <v>15.704918032786885</v>
      </c>
    </row>
    <row r="537" spans="1:4" x14ac:dyDescent="0.2">
      <c r="A537">
        <v>536</v>
      </c>
      <c r="B537">
        <v>0</v>
      </c>
      <c r="C537">
        <f t="shared" si="18"/>
        <v>1266</v>
      </c>
      <c r="D537" s="2">
        <f t="shared" si="19"/>
        <v>15.704918032786885</v>
      </c>
    </row>
    <row r="538" spans="1:4" x14ac:dyDescent="0.2">
      <c r="A538">
        <v>537</v>
      </c>
      <c r="B538">
        <v>0</v>
      </c>
      <c r="C538">
        <f t="shared" si="18"/>
        <v>1267</v>
      </c>
      <c r="D538" s="2">
        <f t="shared" si="19"/>
        <v>15.704918032786885</v>
      </c>
    </row>
    <row r="539" spans="1:4" x14ac:dyDescent="0.2">
      <c r="A539">
        <v>538</v>
      </c>
      <c r="B539">
        <v>0</v>
      </c>
      <c r="C539">
        <f t="shared" si="18"/>
        <v>1268</v>
      </c>
      <c r="D539" s="2">
        <f t="shared" si="19"/>
        <v>15.704918032786885</v>
      </c>
    </row>
    <row r="540" spans="1:4" x14ac:dyDescent="0.2">
      <c r="A540">
        <v>539</v>
      </c>
      <c r="B540">
        <v>0</v>
      </c>
      <c r="C540">
        <f t="shared" si="18"/>
        <v>1269</v>
      </c>
      <c r="D540" s="2">
        <f t="shared" si="19"/>
        <v>15.704918032786885</v>
      </c>
    </row>
    <row r="541" spans="1:4" x14ac:dyDescent="0.2">
      <c r="A541">
        <v>540</v>
      </c>
      <c r="B541">
        <v>0</v>
      </c>
      <c r="C541">
        <f t="shared" si="18"/>
        <v>1270</v>
      </c>
      <c r="D541" s="2">
        <f t="shared" si="19"/>
        <v>15.704918032786885</v>
      </c>
    </row>
    <row r="542" spans="1:4" x14ac:dyDescent="0.2">
      <c r="A542">
        <v>541</v>
      </c>
      <c r="B542">
        <v>0</v>
      </c>
      <c r="C542">
        <f t="shared" si="18"/>
        <v>1271</v>
      </c>
      <c r="D542" s="2">
        <f t="shared" si="19"/>
        <v>15.704918032786885</v>
      </c>
    </row>
    <row r="543" spans="1:4" x14ac:dyDescent="0.2">
      <c r="A543">
        <v>542</v>
      </c>
      <c r="B543">
        <v>0</v>
      </c>
      <c r="C543">
        <f t="shared" si="18"/>
        <v>1272</v>
      </c>
      <c r="D543" s="2">
        <f t="shared" si="19"/>
        <v>15.704918032786885</v>
      </c>
    </row>
    <row r="544" spans="1:4" x14ac:dyDescent="0.2">
      <c r="A544">
        <v>543</v>
      </c>
      <c r="B544">
        <v>0</v>
      </c>
      <c r="C544">
        <f t="shared" si="18"/>
        <v>1273</v>
      </c>
      <c r="D544" s="2">
        <f t="shared" si="19"/>
        <v>15.704918032786885</v>
      </c>
    </row>
    <row r="545" spans="1:4" x14ac:dyDescent="0.2">
      <c r="A545">
        <v>544</v>
      </c>
      <c r="B545">
        <v>0</v>
      </c>
      <c r="C545">
        <f t="shared" si="18"/>
        <v>1274</v>
      </c>
      <c r="D545" s="2">
        <f t="shared" si="19"/>
        <v>15.704918032786885</v>
      </c>
    </row>
    <row r="546" spans="1:4" x14ac:dyDescent="0.2">
      <c r="A546">
        <v>545</v>
      </c>
      <c r="B546">
        <v>0</v>
      </c>
      <c r="C546">
        <f t="shared" si="18"/>
        <v>1275</v>
      </c>
      <c r="D546" s="2">
        <f t="shared" si="19"/>
        <v>15.704918032786885</v>
      </c>
    </row>
    <row r="547" spans="1:4" x14ac:dyDescent="0.2">
      <c r="A547">
        <v>546</v>
      </c>
      <c r="B547">
        <v>0</v>
      </c>
      <c r="C547">
        <f t="shared" si="18"/>
        <v>1276</v>
      </c>
      <c r="D547" s="2">
        <f t="shared" si="19"/>
        <v>15.704918032786885</v>
      </c>
    </row>
    <row r="548" spans="1:4" x14ac:dyDescent="0.2">
      <c r="A548">
        <v>547</v>
      </c>
      <c r="B548">
        <v>0</v>
      </c>
      <c r="C548">
        <f t="shared" si="18"/>
        <v>1277</v>
      </c>
      <c r="D548" s="2">
        <f t="shared" si="19"/>
        <v>15.704918032786885</v>
      </c>
    </row>
    <row r="549" spans="1:4" x14ac:dyDescent="0.2">
      <c r="A549">
        <v>548</v>
      </c>
      <c r="B549">
        <v>0</v>
      </c>
      <c r="C549">
        <f t="shared" si="18"/>
        <v>1278</v>
      </c>
      <c r="D549" s="2">
        <f t="shared" si="19"/>
        <v>15.704918032786885</v>
      </c>
    </row>
    <row r="550" spans="1:4" x14ac:dyDescent="0.2">
      <c r="A550">
        <v>549</v>
      </c>
      <c r="B550">
        <v>0</v>
      </c>
      <c r="C550">
        <f t="shared" si="18"/>
        <v>1279</v>
      </c>
      <c r="D550" s="2">
        <f t="shared" si="19"/>
        <v>15.704918032786885</v>
      </c>
    </row>
    <row r="551" spans="1:4" x14ac:dyDescent="0.2">
      <c r="A551">
        <v>550</v>
      </c>
      <c r="B551">
        <v>0</v>
      </c>
      <c r="C551">
        <f t="shared" si="18"/>
        <v>1280</v>
      </c>
      <c r="D551" s="2">
        <f t="shared" si="19"/>
        <v>15.704918032786885</v>
      </c>
    </row>
    <row r="552" spans="1:4" x14ac:dyDescent="0.2">
      <c r="A552">
        <v>551</v>
      </c>
      <c r="B552">
        <v>0</v>
      </c>
      <c r="C552">
        <f t="shared" si="18"/>
        <v>1281</v>
      </c>
      <c r="D552" s="2">
        <f t="shared" si="19"/>
        <v>15.704918032786885</v>
      </c>
    </row>
    <row r="553" spans="1:4" x14ac:dyDescent="0.2">
      <c r="A553">
        <v>552</v>
      </c>
      <c r="B553">
        <v>0</v>
      </c>
      <c r="C553">
        <f t="shared" si="18"/>
        <v>1282</v>
      </c>
      <c r="D553" s="2">
        <f t="shared" si="19"/>
        <v>15.704918032786885</v>
      </c>
    </row>
    <row r="554" spans="1:4" x14ac:dyDescent="0.2">
      <c r="A554">
        <v>553</v>
      </c>
      <c r="B554">
        <v>0</v>
      </c>
      <c r="C554">
        <f t="shared" si="18"/>
        <v>1283</v>
      </c>
      <c r="D554" s="2">
        <f t="shared" si="19"/>
        <v>15.704918032786885</v>
      </c>
    </row>
    <row r="555" spans="1:4" x14ac:dyDescent="0.2">
      <c r="A555">
        <v>554</v>
      </c>
      <c r="B555">
        <v>0</v>
      </c>
      <c r="C555">
        <f t="shared" si="18"/>
        <v>1284</v>
      </c>
      <c r="D555" s="2">
        <f t="shared" si="19"/>
        <v>15.704918032786885</v>
      </c>
    </row>
    <row r="556" spans="1:4" x14ac:dyDescent="0.2">
      <c r="A556">
        <v>555</v>
      </c>
      <c r="B556">
        <v>0</v>
      </c>
      <c r="C556">
        <f t="shared" si="18"/>
        <v>1285</v>
      </c>
      <c r="D556" s="2">
        <f t="shared" si="19"/>
        <v>15.704918032786885</v>
      </c>
    </row>
    <row r="557" spans="1:4" x14ac:dyDescent="0.2">
      <c r="A557">
        <v>556</v>
      </c>
      <c r="B557">
        <v>0</v>
      </c>
      <c r="C557">
        <f t="shared" si="18"/>
        <v>1286</v>
      </c>
      <c r="D557" s="2">
        <f t="shared" si="19"/>
        <v>15.704918032786885</v>
      </c>
    </row>
    <row r="558" spans="1:4" x14ac:dyDescent="0.2">
      <c r="A558">
        <v>557</v>
      </c>
      <c r="B558">
        <v>0</v>
      </c>
      <c r="C558">
        <f t="shared" si="18"/>
        <v>1287</v>
      </c>
      <c r="D558" s="2">
        <f t="shared" si="19"/>
        <v>15.704918032786885</v>
      </c>
    </row>
    <row r="559" spans="1:4" x14ac:dyDescent="0.2">
      <c r="A559">
        <v>558</v>
      </c>
      <c r="B559">
        <v>0</v>
      </c>
      <c r="C559">
        <f t="shared" si="18"/>
        <v>1288</v>
      </c>
      <c r="D559" s="2">
        <f t="shared" si="19"/>
        <v>15.704918032786885</v>
      </c>
    </row>
    <row r="560" spans="1:4" x14ac:dyDescent="0.2">
      <c r="A560">
        <v>559</v>
      </c>
      <c r="B560">
        <v>0</v>
      </c>
      <c r="C560">
        <f t="shared" si="18"/>
        <v>1289</v>
      </c>
      <c r="D560" s="2">
        <f t="shared" si="19"/>
        <v>15.704918032786885</v>
      </c>
    </row>
    <row r="561" spans="1:4" x14ac:dyDescent="0.2">
      <c r="A561">
        <v>560</v>
      </c>
      <c r="B561">
        <v>0</v>
      </c>
      <c r="C561">
        <f t="shared" si="18"/>
        <v>1290</v>
      </c>
      <c r="D561" s="2">
        <f t="shared" si="19"/>
        <v>15.704918032786885</v>
      </c>
    </row>
    <row r="562" spans="1:4" x14ac:dyDescent="0.2">
      <c r="A562">
        <v>561</v>
      </c>
      <c r="B562">
        <v>0</v>
      </c>
      <c r="C562">
        <f t="shared" si="18"/>
        <v>1291</v>
      </c>
      <c r="D562" s="2">
        <f t="shared" si="19"/>
        <v>15.704918032786885</v>
      </c>
    </row>
    <row r="563" spans="1:4" x14ac:dyDescent="0.2">
      <c r="A563">
        <v>562</v>
      </c>
      <c r="B563">
        <v>0</v>
      </c>
      <c r="C563">
        <f t="shared" si="18"/>
        <v>1292</v>
      </c>
      <c r="D563" s="2">
        <f t="shared" si="19"/>
        <v>15.704918032786885</v>
      </c>
    </row>
    <row r="564" spans="1:4" x14ac:dyDescent="0.2">
      <c r="A564">
        <v>563</v>
      </c>
      <c r="B564">
        <v>0</v>
      </c>
      <c r="C564">
        <f t="shared" si="18"/>
        <v>1293</v>
      </c>
      <c r="D564" s="2">
        <f t="shared" si="19"/>
        <v>15.704918032786885</v>
      </c>
    </row>
    <row r="565" spans="1:4" x14ac:dyDescent="0.2">
      <c r="A565">
        <v>564</v>
      </c>
      <c r="B565">
        <v>0</v>
      </c>
      <c r="C565">
        <f t="shared" si="18"/>
        <v>1294</v>
      </c>
      <c r="D565" s="2">
        <f t="shared" si="19"/>
        <v>15.704918032786885</v>
      </c>
    </row>
    <row r="566" spans="1:4" x14ac:dyDescent="0.2">
      <c r="A566">
        <v>565</v>
      </c>
      <c r="B566">
        <v>0</v>
      </c>
      <c r="C566">
        <f t="shared" si="18"/>
        <v>1295</v>
      </c>
      <c r="D566" s="2">
        <f t="shared" si="19"/>
        <v>15.704918032786885</v>
      </c>
    </row>
    <row r="567" spans="1:4" x14ac:dyDescent="0.2">
      <c r="A567">
        <v>566</v>
      </c>
      <c r="B567">
        <v>0</v>
      </c>
      <c r="C567">
        <f t="shared" si="18"/>
        <v>1296</v>
      </c>
      <c r="D567" s="2">
        <f t="shared" si="19"/>
        <v>15.704918032786885</v>
      </c>
    </row>
    <row r="568" spans="1:4" x14ac:dyDescent="0.2">
      <c r="A568">
        <v>567</v>
      </c>
      <c r="B568">
        <v>0</v>
      </c>
      <c r="C568">
        <f t="shared" si="18"/>
        <v>1297</v>
      </c>
      <c r="D568" s="2">
        <f t="shared" si="19"/>
        <v>15.704918032786885</v>
      </c>
    </row>
    <row r="569" spans="1:4" x14ac:dyDescent="0.2">
      <c r="A569">
        <v>568</v>
      </c>
      <c r="B569">
        <v>0</v>
      </c>
      <c r="C569">
        <f t="shared" si="18"/>
        <v>1298</v>
      </c>
      <c r="D569" s="2">
        <f t="shared" si="19"/>
        <v>15.704918032786885</v>
      </c>
    </row>
    <row r="570" spans="1:4" x14ac:dyDescent="0.2">
      <c r="A570">
        <v>569</v>
      </c>
      <c r="B570">
        <v>0</v>
      </c>
      <c r="C570">
        <f t="shared" si="18"/>
        <v>1299</v>
      </c>
      <c r="D570" s="2">
        <f t="shared" si="19"/>
        <v>15.704918032786885</v>
      </c>
    </row>
    <row r="571" spans="1:4" x14ac:dyDescent="0.2">
      <c r="A571">
        <v>570</v>
      </c>
      <c r="B571">
        <v>0</v>
      </c>
      <c r="C571">
        <f t="shared" si="18"/>
        <v>1300</v>
      </c>
      <c r="D571" s="2">
        <f t="shared" si="19"/>
        <v>15.704918032786885</v>
      </c>
    </row>
    <row r="572" spans="1:4" x14ac:dyDescent="0.2">
      <c r="A572">
        <v>571</v>
      </c>
      <c r="B572">
        <v>0</v>
      </c>
      <c r="C572">
        <f t="shared" si="18"/>
        <v>1301</v>
      </c>
      <c r="D572" s="2">
        <f t="shared" si="19"/>
        <v>15.704918032786885</v>
      </c>
    </row>
    <row r="573" spans="1:4" x14ac:dyDescent="0.2">
      <c r="A573">
        <v>572</v>
      </c>
      <c r="B573">
        <v>0</v>
      </c>
      <c r="C573">
        <f t="shared" si="18"/>
        <v>1302</v>
      </c>
      <c r="D573" s="2">
        <f t="shared" si="19"/>
        <v>15.704918032786885</v>
      </c>
    </row>
    <row r="574" spans="1:4" x14ac:dyDescent="0.2">
      <c r="A574">
        <v>573</v>
      </c>
      <c r="B574">
        <v>0</v>
      </c>
      <c r="C574">
        <f t="shared" si="18"/>
        <v>1303</v>
      </c>
      <c r="D574" s="2">
        <f t="shared" si="19"/>
        <v>15.704918032786885</v>
      </c>
    </row>
    <row r="575" spans="1:4" x14ac:dyDescent="0.2">
      <c r="A575">
        <v>574</v>
      </c>
      <c r="B575">
        <v>0</v>
      </c>
      <c r="C575">
        <f t="shared" si="18"/>
        <v>1304</v>
      </c>
      <c r="D575" s="2">
        <f t="shared" si="19"/>
        <v>15.704918032786885</v>
      </c>
    </row>
    <row r="576" spans="1:4" x14ac:dyDescent="0.2">
      <c r="A576">
        <v>575</v>
      </c>
      <c r="B576">
        <v>0</v>
      </c>
      <c r="C576">
        <f t="shared" si="18"/>
        <v>1305</v>
      </c>
      <c r="D576" s="2">
        <f t="shared" si="19"/>
        <v>15.704918032786885</v>
      </c>
    </row>
    <row r="577" spans="1:4" x14ac:dyDescent="0.2">
      <c r="A577">
        <v>576</v>
      </c>
      <c r="B577">
        <v>0</v>
      </c>
      <c r="C577">
        <f t="shared" si="18"/>
        <v>1306</v>
      </c>
      <c r="D577" s="2">
        <f t="shared" si="19"/>
        <v>15.704918032786885</v>
      </c>
    </row>
    <row r="578" spans="1:4" x14ac:dyDescent="0.2">
      <c r="A578">
        <v>577</v>
      </c>
      <c r="B578">
        <v>0</v>
      </c>
      <c r="C578">
        <f t="shared" si="18"/>
        <v>1307</v>
      </c>
      <c r="D578" s="2">
        <f t="shared" si="19"/>
        <v>15.704918032786885</v>
      </c>
    </row>
    <row r="579" spans="1:4" x14ac:dyDescent="0.2">
      <c r="A579">
        <v>578</v>
      </c>
      <c r="B579">
        <v>0</v>
      </c>
      <c r="C579">
        <f t="shared" ref="C579:C642" si="20">A579+730</f>
        <v>1308</v>
      </c>
      <c r="D579" s="2">
        <f t="shared" si="19"/>
        <v>15.704918032786885</v>
      </c>
    </row>
    <row r="580" spans="1:4" x14ac:dyDescent="0.2">
      <c r="A580">
        <v>579</v>
      </c>
      <c r="B580">
        <v>0</v>
      </c>
      <c r="C580">
        <f t="shared" si="20"/>
        <v>1309</v>
      </c>
      <c r="D580" s="2">
        <f t="shared" ref="D580:D643" si="21">$D$2</f>
        <v>15.704918032786885</v>
      </c>
    </row>
    <row r="581" spans="1:4" x14ac:dyDescent="0.2">
      <c r="A581">
        <v>580</v>
      </c>
      <c r="B581">
        <v>0</v>
      </c>
      <c r="C581">
        <f t="shared" si="20"/>
        <v>1310</v>
      </c>
      <c r="D581" s="2">
        <f t="shared" si="21"/>
        <v>15.704918032786885</v>
      </c>
    </row>
    <row r="582" spans="1:4" x14ac:dyDescent="0.2">
      <c r="A582">
        <v>581</v>
      </c>
      <c r="B582">
        <v>0</v>
      </c>
      <c r="C582">
        <f t="shared" si="20"/>
        <v>1311</v>
      </c>
      <c r="D582" s="2">
        <f t="shared" si="21"/>
        <v>15.704918032786885</v>
      </c>
    </row>
    <row r="583" spans="1:4" x14ac:dyDescent="0.2">
      <c r="A583">
        <v>582</v>
      </c>
      <c r="B583">
        <v>0</v>
      </c>
      <c r="C583">
        <f t="shared" si="20"/>
        <v>1312</v>
      </c>
      <c r="D583" s="2">
        <f t="shared" si="21"/>
        <v>15.704918032786885</v>
      </c>
    </row>
    <row r="584" spans="1:4" x14ac:dyDescent="0.2">
      <c r="A584">
        <v>583</v>
      </c>
      <c r="B584">
        <v>0</v>
      </c>
      <c r="C584">
        <f t="shared" si="20"/>
        <v>1313</v>
      </c>
      <c r="D584" s="2">
        <f t="shared" si="21"/>
        <v>15.704918032786885</v>
      </c>
    </row>
    <row r="585" spans="1:4" x14ac:dyDescent="0.2">
      <c r="A585">
        <v>584</v>
      </c>
      <c r="B585">
        <v>0</v>
      </c>
      <c r="C585">
        <f t="shared" si="20"/>
        <v>1314</v>
      </c>
      <c r="D585" s="2">
        <f t="shared" si="21"/>
        <v>15.704918032786885</v>
      </c>
    </row>
    <row r="586" spans="1:4" x14ac:dyDescent="0.2">
      <c r="A586">
        <v>585</v>
      </c>
      <c r="B586">
        <v>0</v>
      </c>
      <c r="C586">
        <f t="shared" si="20"/>
        <v>1315</v>
      </c>
      <c r="D586" s="2">
        <f t="shared" si="21"/>
        <v>15.704918032786885</v>
      </c>
    </row>
    <row r="587" spans="1:4" x14ac:dyDescent="0.2">
      <c r="A587">
        <v>586</v>
      </c>
      <c r="B587">
        <v>0</v>
      </c>
      <c r="C587">
        <f t="shared" si="20"/>
        <v>1316</v>
      </c>
      <c r="D587" s="2">
        <f t="shared" si="21"/>
        <v>15.704918032786885</v>
      </c>
    </row>
    <row r="588" spans="1:4" x14ac:dyDescent="0.2">
      <c r="A588">
        <v>587</v>
      </c>
      <c r="B588">
        <v>0</v>
      </c>
      <c r="C588">
        <f t="shared" si="20"/>
        <v>1317</v>
      </c>
      <c r="D588" s="2">
        <f t="shared" si="21"/>
        <v>15.704918032786885</v>
      </c>
    </row>
    <row r="589" spans="1:4" x14ac:dyDescent="0.2">
      <c r="A589">
        <v>588</v>
      </c>
      <c r="B589">
        <v>0</v>
      </c>
      <c r="C589">
        <f t="shared" si="20"/>
        <v>1318</v>
      </c>
      <c r="D589" s="2">
        <f t="shared" si="21"/>
        <v>15.704918032786885</v>
      </c>
    </row>
    <row r="590" spans="1:4" x14ac:dyDescent="0.2">
      <c r="A590">
        <v>589</v>
      </c>
      <c r="B590">
        <v>0</v>
      </c>
      <c r="C590">
        <f t="shared" si="20"/>
        <v>1319</v>
      </c>
      <c r="D590" s="2">
        <f t="shared" si="21"/>
        <v>15.704918032786885</v>
      </c>
    </row>
    <row r="591" spans="1:4" x14ac:dyDescent="0.2">
      <c r="A591">
        <v>590</v>
      </c>
      <c r="B591">
        <v>0</v>
      </c>
      <c r="C591">
        <f t="shared" si="20"/>
        <v>1320</v>
      </c>
      <c r="D591" s="2">
        <f t="shared" si="21"/>
        <v>15.704918032786885</v>
      </c>
    </row>
    <row r="592" spans="1:4" x14ac:dyDescent="0.2">
      <c r="A592">
        <v>591</v>
      </c>
      <c r="B592">
        <v>0</v>
      </c>
      <c r="C592">
        <f t="shared" si="20"/>
        <v>1321</v>
      </c>
      <c r="D592" s="2">
        <f t="shared" si="21"/>
        <v>15.704918032786885</v>
      </c>
    </row>
    <row r="593" spans="1:4" x14ac:dyDescent="0.2">
      <c r="A593">
        <v>592</v>
      </c>
      <c r="B593">
        <v>0</v>
      </c>
      <c r="C593">
        <f t="shared" si="20"/>
        <v>1322</v>
      </c>
      <c r="D593" s="2">
        <f t="shared" si="21"/>
        <v>15.704918032786885</v>
      </c>
    </row>
    <row r="594" spans="1:4" x14ac:dyDescent="0.2">
      <c r="A594">
        <v>593</v>
      </c>
      <c r="B594">
        <v>0</v>
      </c>
      <c r="C594">
        <f t="shared" si="20"/>
        <v>1323</v>
      </c>
      <c r="D594" s="2">
        <f t="shared" si="21"/>
        <v>15.704918032786885</v>
      </c>
    </row>
    <row r="595" spans="1:4" x14ac:dyDescent="0.2">
      <c r="A595">
        <v>594</v>
      </c>
      <c r="B595">
        <v>0</v>
      </c>
      <c r="C595">
        <f t="shared" si="20"/>
        <v>1324</v>
      </c>
      <c r="D595" s="2">
        <f t="shared" si="21"/>
        <v>15.704918032786885</v>
      </c>
    </row>
    <row r="596" spans="1:4" x14ac:dyDescent="0.2">
      <c r="A596">
        <v>595</v>
      </c>
      <c r="B596">
        <v>0</v>
      </c>
      <c r="C596">
        <f t="shared" si="20"/>
        <v>1325</v>
      </c>
      <c r="D596" s="2">
        <f t="shared" si="21"/>
        <v>15.704918032786885</v>
      </c>
    </row>
    <row r="597" spans="1:4" x14ac:dyDescent="0.2">
      <c r="A597">
        <v>596</v>
      </c>
      <c r="B597">
        <v>0</v>
      </c>
      <c r="C597">
        <f t="shared" si="20"/>
        <v>1326</v>
      </c>
      <c r="D597" s="2">
        <f t="shared" si="21"/>
        <v>15.704918032786885</v>
      </c>
    </row>
    <row r="598" spans="1:4" x14ac:dyDescent="0.2">
      <c r="A598">
        <v>597</v>
      </c>
      <c r="B598">
        <v>0</v>
      </c>
      <c r="C598">
        <f t="shared" si="20"/>
        <v>1327</v>
      </c>
      <c r="D598" s="2">
        <f t="shared" si="21"/>
        <v>15.704918032786885</v>
      </c>
    </row>
    <row r="599" spans="1:4" x14ac:dyDescent="0.2">
      <c r="A599">
        <v>598</v>
      </c>
      <c r="B599">
        <v>0</v>
      </c>
      <c r="C599">
        <f t="shared" si="20"/>
        <v>1328</v>
      </c>
      <c r="D599" s="2">
        <f t="shared" si="21"/>
        <v>15.704918032786885</v>
      </c>
    </row>
    <row r="600" spans="1:4" x14ac:dyDescent="0.2">
      <c r="A600">
        <v>599</v>
      </c>
      <c r="B600">
        <v>0</v>
      </c>
      <c r="C600">
        <f t="shared" si="20"/>
        <v>1329</v>
      </c>
      <c r="D600" s="2">
        <f t="shared" si="21"/>
        <v>15.704918032786885</v>
      </c>
    </row>
    <row r="601" spans="1:4" x14ac:dyDescent="0.2">
      <c r="A601">
        <v>600</v>
      </c>
      <c r="B601">
        <v>0</v>
      </c>
      <c r="C601">
        <f t="shared" si="20"/>
        <v>1330</v>
      </c>
      <c r="D601" s="2">
        <f t="shared" si="21"/>
        <v>15.704918032786885</v>
      </c>
    </row>
    <row r="602" spans="1:4" x14ac:dyDescent="0.2">
      <c r="A602">
        <v>601</v>
      </c>
      <c r="B602">
        <v>0</v>
      </c>
      <c r="C602">
        <f t="shared" si="20"/>
        <v>1331</v>
      </c>
      <c r="D602" s="2">
        <f t="shared" si="21"/>
        <v>15.704918032786885</v>
      </c>
    </row>
    <row r="603" spans="1:4" x14ac:dyDescent="0.2">
      <c r="A603">
        <v>602</v>
      </c>
      <c r="B603">
        <v>0</v>
      </c>
      <c r="C603">
        <f t="shared" si="20"/>
        <v>1332</v>
      </c>
      <c r="D603" s="2">
        <f t="shared" si="21"/>
        <v>15.704918032786885</v>
      </c>
    </row>
    <row r="604" spans="1:4" x14ac:dyDescent="0.2">
      <c r="A604">
        <v>603</v>
      </c>
      <c r="B604">
        <v>0</v>
      </c>
      <c r="C604">
        <f t="shared" si="20"/>
        <v>1333</v>
      </c>
      <c r="D604" s="2">
        <f t="shared" si="21"/>
        <v>15.704918032786885</v>
      </c>
    </row>
    <row r="605" spans="1:4" x14ac:dyDescent="0.2">
      <c r="A605">
        <v>604</v>
      </c>
      <c r="B605">
        <v>0</v>
      </c>
      <c r="C605">
        <f t="shared" si="20"/>
        <v>1334</v>
      </c>
      <c r="D605" s="2">
        <f t="shared" si="21"/>
        <v>15.704918032786885</v>
      </c>
    </row>
    <row r="606" spans="1:4" x14ac:dyDescent="0.2">
      <c r="A606">
        <v>605</v>
      </c>
      <c r="B606">
        <v>0</v>
      </c>
      <c r="C606">
        <f t="shared" si="20"/>
        <v>1335</v>
      </c>
      <c r="D606" s="2">
        <f t="shared" si="21"/>
        <v>15.704918032786885</v>
      </c>
    </row>
    <row r="607" spans="1:4" x14ac:dyDescent="0.2">
      <c r="A607">
        <v>606</v>
      </c>
      <c r="B607">
        <v>0</v>
      </c>
      <c r="C607">
        <f t="shared" si="20"/>
        <v>1336</v>
      </c>
      <c r="D607" s="2">
        <f t="shared" si="21"/>
        <v>15.704918032786885</v>
      </c>
    </row>
    <row r="608" spans="1:4" x14ac:dyDescent="0.2">
      <c r="A608">
        <v>607</v>
      </c>
      <c r="B608">
        <v>0</v>
      </c>
      <c r="C608">
        <f t="shared" si="20"/>
        <v>1337</v>
      </c>
      <c r="D608" s="2">
        <f t="shared" si="21"/>
        <v>15.704918032786885</v>
      </c>
    </row>
    <row r="609" spans="1:4" x14ac:dyDescent="0.2">
      <c r="A609">
        <v>608</v>
      </c>
      <c r="B609">
        <v>0</v>
      </c>
      <c r="C609">
        <f t="shared" si="20"/>
        <v>1338</v>
      </c>
      <c r="D609" s="2">
        <f t="shared" si="21"/>
        <v>15.704918032786885</v>
      </c>
    </row>
    <row r="610" spans="1:4" x14ac:dyDescent="0.2">
      <c r="A610">
        <v>609</v>
      </c>
      <c r="B610">
        <v>0</v>
      </c>
      <c r="C610">
        <f t="shared" si="20"/>
        <v>1339</v>
      </c>
      <c r="D610" s="2">
        <f t="shared" si="21"/>
        <v>15.704918032786885</v>
      </c>
    </row>
    <row r="611" spans="1:4" x14ac:dyDescent="0.2">
      <c r="A611">
        <v>610</v>
      </c>
      <c r="B611">
        <v>0</v>
      </c>
      <c r="C611">
        <f t="shared" si="20"/>
        <v>1340</v>
      </c>
      <c r="D611" s="2">
        <f t="shared" si="21"/>
        <v>15.704918032786885</v>
      </c>
    </row>
    <row r="612" spans="1:4" x14ac:dyDescent="0.2">
      <c r="A612">
        <v>611</v>
      </c>
      <c r="B612">
        <v>0</v>
      </c>
      <c r="C612">
        <f t="shared" si="20"/>
        <v>1341</v>
      </c>
      <c r="D612" s="2">
        <f t="shared" si="21"/>
        <v>15.704918032786885</v>
      </c>
    </row>
    <row r="613" spans="1:4" x14ac:dyDescent="0.2">
      <c r="A613">
        <v>612</v>
      </c>
      <c r="B613">
        <v>0</v>
      </c>
      <c r="C613">
        <f t="shared" si="20"/>
        <v>1342</v>
      </c>
      <c r="D613" s="2">
        <f t="shared" si="21"/>
        <v>15.704918032786885</v>
      </c>
    </row>
    <row r="614" spans="1:4" x14ac:dyDescent="0.2">
      <c r="A614">
        <v>613</v>
      </c>
      <c r="B614">
        <v>0</v>
      </c>
      <c r="C614">
        <f t="shared" si="20"/>
        <v>1343</v>
      </c>
      <c r="D614" s="2">
        <f t="shared" si="21"/>
        <v>15.704918032786885</v>
      </c>
    </row>
    <row r="615" spans="1:4" x14ac:dyDescent="0.2">
      <c r="A615">
        <v>614</v>
      </c>
      <c r="B615">
        <v>0</v>
      </c>
      <c r="C615">
        <f t="shared" si="20"/>
        <v>1344</v>
      </c>
      <c r="D615" s="2">
        <f t="shared" si="21"/>
        <v>15.704918032786885</v>
      </c>
    </row>
    <row r="616" spans="1:4" x14ac:dyDescent="0.2">
      <c r="A616">
        <v>615</v>
      </c>
      <c r="B616">
        <v>0</v>
      </c>
      <c r="C616">
        <f t="shared" si="20"/>
        <v>1345</v>
      </c>
      <c r="D616" s="2">
        <f t="shared" si="21"/>
        <v>15.704918032786885</v>
      </c>
    </row>
    <row r="617" spans="1:4" x14ac:dyDescent="0.2">
      <c r="A617">
        <v>616</v>
      </c>
      <c r="B617">
        <v>0</v>
      </c>
      <c r="C617">
        <f t="shared" si="20"/>
        <v>1346</v>
      </c>
      <c r="D617" s="2">
        <f t="shared" si="21"/>
        <v>15.704918032786885</v>
      </c>
    </row>
    <row r="618" spans="1:4" x14ac:dyDescent="0.2">
      <c r="A618">
        <v>617</v>
      </c>
      <c r="B618">
        <v>0</v>
      </c>
      <c r="C618">
        <f t="shared" si="20"/>
        <v>1347</v>
      </c>
      <c r="D618" s="2">
        <f t="shared" si="21"/>
        <v>15.704918032786885</v>
      </c>
    </row>
    <row r="619" spans="1:4" x14ac:dyDescent="0.2">
      <c r="A619">
        <v>618</v>
      </c>
      <c r="B619">
        <v>0</v>
      </c>
      <c r="C619">
        <f t="shared" si="20"/>
        <v>1348</v>
      </c>
      <c r="D619" s="2">
        <f t="shared" si="21"/>
        <v>15.704918032786885</v>
      </c>
    </row>
    <row r="620" spans="1:4" x14ac:dyDescent="0.2">
      <c r="A620">
        <v>619</v>
      </c>
      <c r="B620">
        <v>0</v>
      </c>
      <c r="C620">
        <f t="shared" si="20"/>
        <v>1349</v>
      </c>
      <c r="D620" s="2">
        <f t="shared" si="21"/>
        <v>15.704918032786885</v>
      </c>
    </row>
    <row r="621" spans="1:4" x14ac:dyDescent="0.2">
      <c r="A621">
        <v>620</v>
      </c>
      <c r="B621">
        <v>0</v>
      </c>
      <c r="C621">
        <f t="shared" si="20"/>
        <v>1350</v>
      </c>
      <c r="D621" s="2">
        <f t="shared" si="21"/>
        <v>15.704918032786885</v>
      </c>
    </row>
    <row r="622" spans="1:4" x14ac:dyDescent="0.2">
      <c r="A622">
        <v>621</v>
      </c>
      <c r="B622">
        <v>0</v>
      </c>
      <c r="C622">
        <f t="shared" si="20"/>
        <v>1351</v>
      </c>
      <c r="D622" s="2">
        <f t="shared" si="21"/>
        <v>15.704918032786885</v>
      </c>
    </row>
    <row r="623" spans="1:4" x14ac:dyDescent="0.2">
      <c r="A623">
        <v>622</v>
      </c>
      <c r="B623">
        <v>0</v>
      </c>
      <c r="C623">
        <f t="shared" si="20"/>
        <v>1352</v>
      </c>
      <c r="D623" s="2">
        <f t="shared" si="21"/>
        <v>15.704918032786885</v>
      </c>
    </row>
    <row r="624" spans="1:4" x14ac:dyDescent="0.2">
      <c r="A624">
        <v>623</v>
      </c>
      <c r="B624">
        <v>0</v>
      </c>
      <c r="C624">
        <f t="shared" si="20"/>
        <v>1353</v>
      </c>
      <c r="D624" s="2">
        <f t="shared" si="21"/>
        <v>15.704918032786885</v>
      </c>
    </row>
    <row r="625" spans="1:4" x14ac:dyDescent="0.2">
      <c r="A625">
        <v>624</v>
      </c>
      <c r="B625">
        <v>0</v>
      </c>
      <c r="C625">
        <f t="shared" si="20"/>
        <v>1354</v>
      </c>
      <c r="D625" s="2">
        <f t="shared" si="21"/>
        <v>15.704918032786885</v>
      </c>
    </row>
    <row r="626" spans="1:4" x14ac:dyDescent="0.2">
      <c r="A626">
        <v>625</v>
      </c>
      <c r="B626">
        <v>0</v>
      </c>
      <c r="C626">
        <f t="shared" si="20"/>
        <v>1355</v>
      </c>
      <c r="D626" s="2">
        <f t="shared" si="21"/>
        <v>15.704918032786885</v>
      </c>
    </row>
    <row r="627" spans="1:4" x14ac:dyDescent="0.2">
      <c r="A627">
        <v>626</v>
      </c>
      <c r="B627">
        <v>0</v>
      </c>
      <c r="C627">
        <f t="shared" si="20"/>
        <v>1356</v>
      </c>
      <c r="D627" s="2">
        <f t="shared" si="21"/>
        <v>15.704918032786885</v>
      </c>
    </row>
    <row r="628" spans="1:4" x14ac:dyDescent="0.2">
      <c r="A628">
        <v>627</v>
      </c>
      <c r="B628">
        <v>0</v>
      </c>
      <c r="C628">
        <f t="shared" si="20"/>
        <v>1357</v>
      </c>
      <c r="D628" s="2">
        <f t="shared" si="21"/>
        <v>15.704918032786885</v>
      </c>
    </row>
    <row r="629" spans="1:4" x14ac:dyDescent="0.2">
      <c r="A629">
        <v>628</v>
      </c>
      <c r="B629">
        <v>0</v>
      </c>
      <c r="C629">
        <f t="shared" si="20"/>
        <v>1358</v>
      </c>
      <c r="D629" s="2">
        <f t="shared" si="21"/>
        <v>15.704918032786885</v>
      </c>
    </row>
    <row r="630" spans="1:4" x14ac:dyDescent="0.2">
      <c r="A630">
        <v>629</v>
      </c>
      <c r="B630">
        <v>0</v>
      </c>
      <c r="C630">
        <f t="shared" si="20"/>
        <v>1359</v>
      </c>
      <c r="D630" s="2">
        <f t="shared" si="21"/>
        <v>15.704918032786885</v>
      </c>
    </row>
    <row r="631" spans="1:4" x14ac:dyDescent="0.2">
      <c r="A631">
        <v>630</v>
      </c>
      <c r="B631">
        <v>0</v>
      </c>
      <c r="C631">
        <f t="shared" si="20"/>
        <v>1360</v>
      </c>
      <c r="D631" s="2">
        <f t="shared" si="21"/>
        <v>15.704918032786885</v>
      </c>
    </row>
    <row r="632" spans="1:4" x14ac:dyDescent="0.2">
      <c r="A632">
        <v>631</v>
      </c>
      <c r="B632">
        <v>0</v>
      </c>
      <c r="C632">
        <f t="shared" si="20"/>
        <v>1361</v>
      </c>
      <c r="D632" s="2">
        <f t="shared" si="21"/>
        <v>15.704918032786885</v>
      </c>
    </row>
    <row r="633" spans="1:4" x14ac:dyDescent="0.2">
      <c r="A633">
        <v>632</v>
      </c>
      <c r="B633">
        <v>0</v>
      </c>
      <c r="C633">
        <f t="shared" si="20"/>
        <v>1362</v>
      </c>
      <c r="D633" s="2">
        <f t="shared" si="21"/>
        <v>15.704918032786885</v>
      </c>
    </row>
    <row r="634" spans="1:4" x14ac:dyDescent="0.2">
      <c r="A634">
        <v>633</v>
      </c>
      <c r="B634">
        <v>0</v>
      </c>
      <c r="C634">
        <f t="shared" si="20"/>
        <v>1363</v>
      </c>
      <c r="D634" s="2">
        <f t="shared" si="21"/>
        <v>15.704918032786885</v>
      </c>
    </row>
    <row r="635" spans="1:4" x14ac:dyDescent="0.2">
      <c r="A635">
        <v>634</v>
      </c>
      <c r="B635">
        <v>0</v>
      </c>
      <c r="C635">
        <f t="shared" si="20"/>
        <v>1364</v>
      </c>
      <c r="D635" s="2">
        <f t="shared" si="21"/>
        <v>15.704918032786885</v>
      </c>
    </row>
    <row r="636" spans="1:4" x14ac:dyDescent="0.2">
      <c r="A636">
        <v>635</v>
      </c>
      <c r="B636">
        <v>0</v>
      </c>
      <c r="C636">
        <f t="shared" si="20"/>
        <v>1365</v>
      </c>
      <c r="D636" s="2">
        <f t="shared" si="21"/>
        <v>15.704918032786885</v>
      </c>
    </row>
    <row r="637" spans="1:4" x14ac:dyDescent="0.2">
      <c r="A637">
        <v>636</v>
      </c>
      <c r="B637">
        <v>0</v>
      </c>
      <c r="C637">
        <f t="shared" si="20"/>
        <v>1366</v>
      </c>
      <c r="D637" s="2">
        <f t="shared" si="21"/>
        <v>15.704918032786885</v>
      </c>
    </row>
    <row r="638" spans="1:4" x14ac:dyDescent="0.2">
      <c r="A638">
        <v>637</v>
      </c>
      <c r="B638">
        <v>0</v>
      </c>
      <c r="C638">
        <f t="shared" si="20"/>
        <v>1367</v>
      </c>
      <c r="D638" s="2">
        <f t="shared" si="21"/>
        <v>15.704918032786885</v>
      </c>
    </row>
    <row r="639" spans="1:4" x14ac:dyDescent="0.2">
      <c r="A639">
        <v>638</v>
      </c>
      <c r="B639">
        <v>0</v>
      </c>
      <c r="C639">
        <f t="shared" si="20"/>
        <v>1368</v>
      </c>
      <c r="D639" s="2">
        <f t="shared" si="21"/>
        <v>15.704918032786885</v>
      </c>
    </row>
    <row r="640" spans="1:4" x14ac:dyDescent="0.2">
      <c r="A640">
        <v>639</v>
      </c>
      <c r="B640">
        <v>0</v>
      </c>
      <c r="C640">
        <f t="shared" si="20"/>
        <v>1369</v>
      </c>
      <c r="D640" s="2">
        <f t="shared" si="21"/>
        <v>15.704918032786885</v>
      </c>
    </row>
    <row r="641" spans="1:4" x14ac:dyDescent="0.2">
      <c r="A641">
        <v>640</v>
      </c>
      <c r="B641">
        <v>3</v>
      </c>
      <c r="C641">
        <f t="shared" si="20"/>
        <v>1370</v>
      </c>
      <c r="D641" s="2">
        <f t="shared" si="21"/>
        <v>15.704918032786885</v>
      </c>
    </row>
    <row r="642" spans="1:4" x14ac:dyDescent="0.2">
      <c r="A642">
        <v>641</v>
      </c>
      <c r="B642">
        <v>0</v>
      </c>
      <c r="C642">
        <f t="shared" si="20"/>
        <v>1371</v>
      </c>
      <c r="D642" s="2">
        <f t="shared" si="21"/>
        <v>15.704918032786885</v>
      </c>
    </row>
    <row r="643" spans="1:4" x14ac:dyDescent="0.2">
      <c r="A643">
        <v>642</v>
      </c>
      <c r="B643">
        <v>0</v>
      </c>
      <c r="C643">
        <f t="shared" ref="C643:C706" si="22">A643+730</f>
        <v>1372</v>
      </c>
      <c r="D643" s="2">
        <f t="shared" si="21"/>
        <v>15.704918032786885</v>
      </c>
    </row>
    <row r="644" spans="1:4" x14ac:dyDescent="0.2">
      <c r="A644">
        <v>643</v>
      </c>
      <c r="B644">
        <v>0</v>
      </c>
      <c r="C644">
        <f t="shared" si="22"/>
        <v>1373</v>
      </c>
      <c r="D644" s="2">
        <f t="shared" ref="D644:D707" si="23">$D$2</f>
        <v>15.704918032786885</v>
      </c>
    </row>
    <row r="645" spans="1:4" x14ac:dyDescent="0.2">
      <c r="A645">
        <v>644</v>
      </c>
      <c r="B645">
        <v>0</v>
      </c>
      <c r="C645">
        <f t="shared" si="22"/>
        <v>1374</v>
      </c>
      <c r="D645" s="2">
        <f t="shared" si="23"/>
        <v>15.704918032786885</v>
      </c>
    </row>
    <row r="646" spans="1:4" x14ac:dyDescent="0.2">
      <c r="A646">
        <v>645</v>
      </c>
      <c r="B646">
        <v>0</v>
      </c>
      <c r="C646">
        <f t="shared" si="22"/>
        <v>1375</v>
      </c>
      <c r="D646" s="2">
        <f t="shared" si="23"/>
        <v>15.704918032786885</v>
      </c>
    </row>
    <row r="647" spans="1:4" x14ac:dyDescent="0.2">
      <c r="A647">
        <v>646</v>
      </c>
      <c r="B647">
        <v>0</v>
      </c>
      <c r="C647">
        <f t="shared" si="22"/>
        <v>1376</v>
      </c>
      <c r="D647" s="2">
        <f t="shared" si="23"/>
        <v>15.704918032786885</v>
      </c>
    </row>
    <row r="648" spans="1:4" x14ac:dyDescent="0.2">
      <c r="A648">
        <v>647</v>
      </c>
      <c r="B648">
        <v>1</v>
      </c>
      <c r="C648">
        <f t="shared" si="22"/>
        <v>1377</v>
      </c>
      <c r="D648" s="2">
        <f t="shared" si="23"/>
        <v>15.704918032786885</v>
      </c>
    </row>
    <row r="649" spans="1:4" x14ac:dyDescent="0.2">
      <c r="A649">
        <v>648</v>
      </c>
      <c r="B649">
        <v>0</v>
      </c>
      <c r="C649">
        <f t="shared" si="22"/>
        <v>1378</v>
      </c>
      <c r="D649" s="2">
        <f t="shared" si="23"/>
        <v>15.704918032786885</v>
      </c>
    </row>
    <row r="650" spans="1:4" x14ac:dyDescent="0.2">
      <c r="A650">
        <v>649</v>
      </c>
      <c r="B650">
        <v>7</v>
      </c>
      <c r="C650">
        <f t="shared" si="22"/>
        <v>1379</v>
      </c>
      <c r="D650" s="2">
        <f t="shared" si="23"/>
        <v>15.704918032786885</v>
      </c>
    </row>
    <row r="651" spans="1:4" x14ac:dyDescent="0.2">
      <c r="A651">
        <v>650</v>
      </c>
      <c r="B651">
        <v>0</v>
      </c>
      <c r="C651">
        <f t="shared" si="22"/>
        <v>1380</v>
      </c>
      <c r="D651" s="2">
        <f t="shared" si="23"/>
        <v>15.704918032786885</v>
      </c>
    </row>
    <row r="652" spans="1:4" x14ac:dyDescent="0.2">
      <c r="A652">
        <v>651</v>
      </c>
      <c r="B652">
        <v>12</v>
      </c>
      <c r="C652">
        <f t="shared" si="22"/>
        <v>1381</v>
      </c>
      <c r="D652" s="2">
        <f t="shared" si="23"/>
        <v>15.704918032786885</v>
      </c>
    </row>
    <row r="653" spans="1:4" x14ac:dyDescent="0.2">
      <c r="A653">
        <v>652</v>
      </c>
      <c r="B653">
        <v>0</v>
      </c>
      <c r="C653">
        <f t="shared" si="22"/>
        <v>1382</v>
      </c>
      <c r="D653" s="2">
        <f t="shared" si="23"/>
        <v>15.704918032786885</v>
      </c>
    </row>
    <row r="654" spans="1:4" x14ac:dyDescent="0.2">
      <c r="A654">
        <v>653</v>
      </c>
      <c r="B654">
        <v>21</v>
      </c>
      <c r="C654">
        <f t="shared" si="22"/>
        <v>1383</v>
      </c>
      <c r="D654" s="2">
        <f t="shared" si="23"/>
        <v>15.704918032786885</v>
      </c>
    </row>
    <row r="655" spans="1:4" x14ac:dyDescent="0.2">
      <c r="A655">
        <v>654</v>
      </c>
      <c r="B655">
        <v>4</v>
      </c>
      <c r="C655">
        <f t="shared" si="22"/>
        <v>1384</v>
      </c>
      <c r="D655" s="2">
        <f t="shared" si="23"/>
        <v>15.704918032786885</v>
      </c>
    </row>
    <row r="656" spans="1:4" x14ac:dyDescent="0.2">
      <c r="A656">
        <v>655</v>
      </c>
      <c r="B656">
        <v>6</v>
      </c>
      <c r="C656">
        <f t="shared" si="22"/>
        <v>1385</v>
      </c>
      <c r="D656" s="2">
        <f t="shared" si="23"/>
        <v>15.704918032786885</v>
      </c>
    </row>
    <row r="657" spans="1:4" x14ac:dyDescent="0.2">
      <c r="A657">
        <v>656</v>
      </c>
      <c r="B657">
        <v>10</v>
      </c>
      <c r="C657">
        <f t="shared" si="22"/>
        <v>1386</v>
      </c>
      <c r="D657" s="2">
        <f t="shared" si="23"/>
        <v>15.704918032786885</v>
      </c>
    </row>
    <row r="658" spans="1:4" x14ac:dyDescent="0.2">
      <c r="A658">
        <v>657</v>
      </c>
      <c r="B658">
        <v>19</v>
      </c>
      <c r="C658">
        <f t="shared" si="22"/>
        <v>1387</v>
      </c>
      <c r="D658" s="2">
        <f t="shared" si="23"/>
        <v>15.704918032786885</v>
      </c>
    </row>
    <row r="659" spans="1:4" x14ac:dyDescent="0.2">
      <c r="A659">
        <v>658</v>
      </c>
      <c r="B659">
        <v>8</v>
      </c>
      <c r="C659">
        <f t="shared" si="22"/>
        <v>1388</v>
      </c>
      <c r="D659" s="2">
        <f t="shared" si="23"/>
        <v>15.704918032786885</v>
      </c>
    </row>
    <row r="660" spans="1:4" x14ac:dyDescent="0.2">
      <c r="A660">
        <v>659</v>
      </c>
      <c r="B660">
        <v>13</v>
      </c>
      <c r="C660">
        <f t="shared" si="22"/>
        <v>1389</v>
      </c>
      <c r="D660" s="2">
        <f t="shared" si="23"/>
        <v>15.704918032786885</v>
      </c>
    </row>
    <row r="661" spans="1:4" x14ac:dyDescent="0.2">
      <c r="A661">
        <v>660</v>
      </c>
      <c r="B661">
        <v>31</v>
      </c>
      <c r="C661">
        <f t="shared" si="22"/>
        <v>1390</v>
      </c>
      <c r="D661" s="2">
        <f t="shared" si="23"/>
        <v>15.704918032786885</v>
      </c>
    </row>
    <row r="662" spans="1:4" x14ac:dyDescent="0.2">
      <c r="A662">
        <v>661</v>
      </c>
      <c r="B662">
        <v>7</v>
      </c>
      <c r="C662">
        <f t="shared" si="22"/>
        <v>1391</v>
      </c>
      <c r="D662" s="2">
        <f t="shared" si="23"/>
        <v>15.704918032786885</v>
      </c>
    </row>
    <row r="663" spans="1:4" x14ac:dyDescent="0.2">
      <c r="A663">
        <v>662</v>
      </c>
      <c r="B663">
        <v>50</v>
      </c>
      <c r="C663">
        <f t="shared" si="22"/>
        <v>1392</v>
      </c>
      <c r="D663" s="2">
        <f t="shared" si="23"/>
        <v>15.704918032786885</v>
      </c>
    </row>
    <row r="664" spans="1:4" x14ac:dyDescent="0.2">
      <c r="A664">
        <v>663</v>
      </c>
      <c r="B664">
        <v>29</v>
      </c>
      <c r="C664">
        <f t="shared" si="22"/>
        <v>1393</v>
      </c>
      <c r="D664" s="2">
        <f t="shared" si="23"/>
        <v>15.704918032786885</v>
      </c>
    </row>
    <row r="665" spans="1:4" x14ac:dyDescent="0.2">
      <c r="A665">
        <v>664</v>
      </c>
      <c r="B665">
        <v>62</v>
      </c>
      <c r="C665">
        <f t="shared" si="22"/>
        <v>1394</v>
      </c>
      <c r="D665" s="2">
        <f t="shared" si="23"/>
        <v>15.704918032786885</v>
      </c>
    </row>
    <row r="666" spans="1:4" x14ac:dyDescent="0.2">
      <c r="A666">
        <v>665</v>
      </c>
      <c r="B666">
        <v>5</v>
      </c>
      <c r="C666">
        <f t="shared" si="22"/>
        <v>1395</v>
      </c>
      <c r="D666" s="2">
        <f t="shared" si="23"/>
        <v>15.704918032786885</v>
      </c>
    </row>
    <row r="667" spans="1:4" x14ac:dyDescent="0.2">
      <c r="A667">
        <v>666</v>
      </c>
      <c r="B667">
        <v>12</v>
      </c>
      <c r="C667">
        <f t="shared" si="22"/>
        <v>1396</v>
      </c>
      <c r="D667" s="2">
        <f t="shared" si="23"/>
        <v>15.704918032786885</v>
      </c>
    </row>
    <row r="668" spans="1:4" x14ac:dyDescent="0.2">
      <c r="A668">
        <v>667</v>
      </c>
      <c r="B668">
        <v>9</v>
      </c>
      <c r="C668">
        <f t="shared" si="22"/>
        <v>1397</v>
      </c>
      <c r="D668" s="2">
        <f t="shared" si="23"/>
        <v>15.704918032786885</v>
      </c>
    </row>
    <row r="669" spans="1:4" x14ac:dyDescent="0.2">
      <c r="A669">
        <v>668</v>
      </c>
      <c r="B669">
        <v>11</v>
      </c>
      <c r="C669">
        <f t="shared" si="22"/>
        <v>1398</v>
      </c>
      <c r="D669" s="2">
        <f t="shared" si="23"/>
        <v>15.704918032786885</v>
      </c>
    </row>
    <row r="670" spans="1:4" x14ac:dyDescent="0.2">
      <c r="A670">
        <v>669</v>
      </c>
      <c r="B670">
        <v>5</v>
      </c>
      <c r="C670">
        <f t="shared" si="22"/>
        <v>1399</v>
      </c>
      <c r="D670" s="2">
        <f t="shared" si="23"/>
        <v>15.704918032786885</v>
      </c>
    </row>
    <row r="671" spans="1:4" x14ac:dyDescent="0.2">
      <c r="A671" s="5">
        <v>670</v>
      </c>
      <c r="B671" s="5">
        <v>23</v>
      </c>
      <c r="C671">
        <f t="shared" si="22"/>
        <v>1400</v>
      </c>
      <c r="D671" s="2">
        <f t="shared" si="23"/>
        <v>15.704918032786885</v>
      </c>
    </row>
    <row r="672" spans="1:4" x14ac:dyDescent="0.2">
      <c r="A672" s="5">
        <v>671</v>
      </c>
      <c r="B672" s="5">
        <v>60</v>
      </c>
      <c r="C672">
        <f t="shared" si="22"/>
        <v>1401</v>
      </c>
      <c r="D672" s="2">
        <f t="shared" si="23"/>
        <v>15.704918032786885</v>
      </c>
    </row>
    <row r="673" spans="1:4" x14ac:dyDescent="0.2">
      <c r="A673" s="5">
        <v>672</v>
      </c>
      <c r="B673" s="5">
        <v>36</v>
      </c>
      <c r="C673">
        <f t="shared" si="22"/>
        <v>1402</v>
      </c>
      <c r="D673" s="2">
        <f t="shared" si="23"/>
        <v>15.704918032786885</v>
      </c>
    </row>
    <row r="674" spans="1:4" x14ac:dyDescent="0.2">
      <c r="A674" s="5">
        <v>673</v>
      </c>
      <c r="B674" s="5">
        <v>5</v>
      </c>
      <c r="C674">
        <f t="shared" si="22"/>
        <v>1403</v>
      </c>
      <c r="D674" s="2">
        <f t="shared" si="23"/>
        <v>15.704918032786885</v>
      </c>
    </row>
    <row r="675" spans="1:4" x14ac:dyDescent="0.2">
      <c r="A675" s="5">
        <v>674</v>
      </c>
      <c r="B675" s="5">
        <v>27</v>
      </c>
      <c r="C675">
        <f t="shared" si="22"/>
        <v>1404</v>
      </c>
      <c r="D675" s="2">
        <f t="shared" si="23"/>
        <v>15.704918032786885</v>
      </c>
    </row>
    <row r="676" spans="1:4" x14ac:dyDescent="0.2">
      <c r="A676" s="5">
        <v>675</v>
      </c>
      <c r="B676" s="5">
        <v>35</v>
      </c>
      <c r="C676">
        <f t="shared" si="22"/>
        <v>1405</v>
      </c>
      <c r="D676" s="2">
        <f t="shared" si="23"/>
        <v>15.704918032786885</v>
      </c>
    </row>
    <row r="677" spans="1:4" x14ac:dyDescent="0.2">
      <c r="A677" s="5">
        <v>676</v>
      </c>
      <c r="B677" s="5">
        <v>8</v>
      </c>
      <c r="C677">
        <f t="shared" si="22"/>
        <v>1406</v>
      </c>
      <c r="D677" s="2">
        <f t="shared" si="23"/>
        <v>15.704918032786885</v>
      </c>
    </row>
    <row r="678" spans="1:4" x14ac:dyDescent="0.2">
      <c r="A678" s="5">
        <v>677</v>
      </c>
      <c r="B678" s="5">
        <v>17</v>
      </c>
      <c r="C678">
        <f t="shared" si="22"/>
        <v>1407</v>
      </c>
      <c r="D678" s="2">
        <f t="shared" si="23"/>
        <v>15.704918032786885</v>
      </c>
    </row>
    <row r="679" spans="1:4" x14ac:dyDescent="0.2">
      <c r="A679" s="5">
        <v>678</v>
      </c>
      <c r="B679" s="5">
        <v>0</v>
      </c>
      <c r="C679">
        <f t="shared" si="22"/>
        <v>1408</v>
      </c>
      <c r="D679" s="2">
        <f t="shared" si="23"/>
        <v>15.704918032786885</v>
      </c>
    </row>
    <row r="680" spans="1:4" x14ac:dyDescent="0.2">
      <c r="A680" s="5">
        <v>679</v>
      </c>
      <c r="B680" s="5">
        <v>0</v>
      </c>
      <c r="C680">
        <f t="shared" si="22"/>
        <v>1409</v>
      </c>
      <c r="D680" s="2">
        <f t="shared" si="23"/>
        <v>15.704918032786885</v>
      </c>
    </row>
    <row r="681" spans="1:4" x14ac:dyDescent="0.2">
      <c r="A681" s="5">
        <v>680</v>
      </c>
      <c r="B681" s="5">
        <v>3</v>
      </c>
      <c r="C681">
        <f t="shared" si="22"/>
        <v>1410</v>
      </c>
      <c r="D681" s="2">
        <f t="shared" si="23"/>
        <v>15.704918032786885</v>
      </c>
    </row>
    <row r="682" spans="1:4" x14ac:dyDescent="0.2">
      <c r="A682" s="5">
        <v>681</v>
      </c>
      <c r="B682" s="5">
        <v>46</v>
      </c>
      <c r="C682">
        <f t="shared" si="22"/>
        <v>1411</v>
      </c>
      <c r="D682" s="2">
        <f t="shared" si="23"/>
        <v>15.704918032786885</v>
      </c>
    </row>
    <row r="683" spans="1:4" x14ac:dyDescent="0.2">
      <c r="A683" s="5">
        <v>682</v>
      </c>
      <c r="B683" s="5">
        <v>0</v>
      </c>
      <c r="C683">
        <f t="shared" si="22"/>
        <v>1412</v>
      </c>
      <c r="D683" s="2">
        <f t="shared" si="23"/>
        <v>15.704918032786885</v>
      </c>
    </row>
    <row r="684" spans="1:4" x14ac:dyDescent="0.2">
      <c r="A684" s="5">
        <v>683</v>
      </c>
      <c r="B684" s="5">
        <v>18</v>
      </c>
      <c r="C684">
        <f t="shared" si="22"/>
        <v>1413</v>
      </c>
      <c r="D684" s="2">
        <f t="shared" si="23"/>
        <v>15.704918032786885</v>
      </c>
    </row>
    <row r="685" spans="1:4" x14ac:dyDescent="0.2">
      <c r="A685" s="5">
        <v>684</v>
      </c>
      <c r="B685" s="5">
        <v>0</v>
      </c>
      <c r="C685">
        <f t="shared" si="22"/>
        <v>1414</v>
      </c>
      <c r="D685" s="2">
        <f t="shared" si="23"/>
        <v>15.704918032786885</v>
      </c>
    </row>
    <row r="686" spans="1:4" x14ac:dyDescent="0.2">
      <c r="A686" s="5">
        <v>685</v>
      </c>
      <c r="B686" s="5">
        <v>83</v>
      </c>
      <c r="C686">
        <f t="shared" si="22"/>
        <v>1415</v>
      </c>
      <c r="D686" s="2">
        <f t="shared" si="23"/>
        <v>15.704918032786885</v>
      </c>
    </row>
    <row r="687" spans="1:4" x14ac:dyDescent="0.2">
      <c r="A687" s="5">
        <v>686</v>
      </c>
      <c r="B687" s="5">
        <v>41</v>
      </c>
      <c r="C687">
        <f t="shared" si="22"/>
        <v>1416</v>
      </c>
      <c r="D687" s="2">
        <f t="shared" si="23"/>
        <v>15.704918032786885</v>
      </c>
    </row>
    <row r="688" spans="1:4" x14ac:dyDescent="0.2">
      <c r="A688" s="5">
        <v>687</v>
      </c>
      <c r="B688" s="5">
        <v>32</v>
      </c>
      <c r="C688">
        <f t="shared" si="22"/>
        <v>1417</v>
      </c>
      <c r="D688" s="2">
        <f t="shared" si="23"/>
        <v>15.704918032786885</v>
      </c>
    </row>
    <row r="689" spans="1:5" x14ac:dyDescent="0.2">
      <c r="A689" s="5">
        <v>688</v>
      </c>
      <c r="B689" s="5">
        <v>2</v>
      </c>
      <c r="C689">
        <f t="shared" si="22"/>
        <v>1418</v>
      </c>
      <c r="D689" s="2">
        <f t="shared" si="23"/>
        <v>15.704918032786885</v>
      </c>
    </row>
    <row r="690" spans="1:5" x14ac:dyDescent="0.2">
      <c r="A690" s="5">
        <v>689</v>
      </c>
      <c r="B690" s="5">
        <v>13</v>
      </c>
      <c r="C690">
        <f t="shared" si="22"/>
        <v>1419</v>
      </c>
      <c r="D690" s="2">
        <f t="shared" si="23"/>
        <v>15.704918032786885</v>
      </c>
    </row>
    <row r="691" spans="1:5" x14ac:dyDescent="0.2">
      <c r="A691" s="5">
        <v>690</v>
      </c>
      <c r="B691" s="5">
        <v>0</v>
      </c>
      <c r="C691">
        <f t="shared" si="22"/>
        <v>1420</v>
      </c>
      <c r="D691" s="2">
        <f t="shared" si="23"/>
        <v>15.704918032786885</v>
      </c>
    </row>
    <row r="692" spans="1:5" x14ac:dyDescent="0.2">
      <c r="A692" s="5">
        <v>691</v>
      </c>
      <c r="B692" s="5">
        <v>5</v>
      </c>
      <c r="C692">
        <f t="shared" si="22"/>
        <v>1421</v>
      </c>
      <c r="D692" s="2">
        <f t="shared" si="23"/>
        <v>15.704918032786885</v>
      </c>
    </row>
    <row r="693" spans="1:5" x14ac:dyDescent="0.2">
      <c r="A693" s="5">
        <v>692</v>
      </c>
      <c r="B693" s="5">
        <v>0</v>
      </c>
      <c r="C693">
        <f t="shared" si="22"/>
        <v>1422</v>
      </c>
      <c r="D693" s="2">
        <f t="shared" si="23"/>
        <v>15.704918032786885</v>
      </c>
    </row>
    <row r="694" spans="1:5" x14ac:dyDescent="0.2">
      <c r="A694" s="5">
        <v>693</v>
      </c>
      <c r="B694" s="5">
        <v>2</v>
      </c>
      <c r="C694">
        <f t="shared" si="22"/>
        <v>1423</v>
      </c>
      <c r="D694" s="2">
        <f t="shared" si="23"/>
        <v>15.704918032786885</v>
      </c>
    </row>
    <row r="695" spans="1:5" x14ac:dyDescent="0.2">
      <c r="A695" s="5">
        <v>694</v>
      </c>
      <c r="B695" s="5">
        <v>13</v>
      </c>
      <c r="C695">
        <f t="shared" si="22"/>
        <v>1424</v>
      </c>
      <c r="D695" s="2">
        <f t="shared" si="23"/>
        <v>15.704918032786885</v>
      </c>
    </row>
    <row r="696" spans="1:5" x14ac:dyDescent="0.2">
      <c r="A696" s="5">
        <v>695</v>
      </c>
      <c r="B696" s="5">
        <v>8</v>
      </c>
      <c r="C696">
        <f t="shared" si="22"/>
        <v>1425</v>
      </c>
      <c r="D696" s="2">
        <f t="shared" si="23"/>
        <v>15.704918032786885</v>
      </c>
    </row>
    <row r="697" spans="1:5" x14ac:dyDescent="0.2">
      <c r="A697" s="5">
        <v>696</v>
      </c>
      <c r="B697" s="5">
        <v>9</v>
      </c>
      <c r="C697">
        <f t="shared" si="22"/>
        <v>1426</v>
      </c>
      <c r="D697" s="2">
        <f t="shared" si="23"/>
        <v>15.704918032786885</v>
      </c>
    </row>
    <row r="698" spans="1:5" x14ac:dyDescent="0.2">
      <c r="A698" s="5">
        <v>697</v>
      </c>
      <c r="B698" s="5">
        <v>6</v>
      </c>
      <c r="C698">
        <f t="shared" si="22"/>
        <v>1427</v>
      </c>
      <c r="D698" s="2">
        <f t="shared" si="23"/>
        <v>15.704918032786885</v>
      </c>
    </row>
    <row r="699" spans="1:5" x14ac:dyDescent="0.2">
      <c r="A699" s="5">
        <v>698</v>
      </c>
      <c r="B699" s="5">
        <v>17</v>
      </c>
      <c r="C699">
        <f t="shared" si="22"/>
        <v>1428</v>
      </c>
      <c r="D699" s="2">
        <f t="shared" si="23"/>
        <v>15.704918032786885</v>
      </c>
    </row>
    <row r="700" spans="1:5" x14ac:dyDescent="0.2">
      <c r="A700" s="5">
        <v>699</v>
      </c>
      <c r="B700" s="5">
        <v>0</v>
      </c>
      <c r="C700">
        <f t="shared" si="22"/>
        <v>1429</v>
      </c>
      <c r="D700" s="2">
        <f t="shared" si="23"/>
        <v>15.704918032786885</v>
      </c>
    </row>
    <row r="701" spans="1:5" x14ac:dyDescent="0.2">
      <c r="A701" s="5">
        <v>700</v>
      </c>
      <c r="B701" s="5">
        <v>1</v>
      </c>
      <c r="C701" s="6">
        <f t="shared" si="22"/>
        <v>1430</v>
      </c>
      <c r="D701" s="2">
        <f t="shared" si="23"/>
        <v>15.704918032786885</v>
      </c>
      <c r="E701" s="9">
        <f>D701*(1460-C701)/30</f>
        <v>15.704918032786885</v>
      </c>
    </row>
    <row r="702" spans="1:5" x14ac:dyDescent="0.2">
      <c r="A702" s="5">
        <v>701</v>
      </c>
      <c r="B702" s="5">
        <v>26</v>
      </c>
      <c r="C702" s="6">
        <f t="shared" si="22"/>
        <v>1431</v>
      </c>
      <c r="D702" s="2">
        <f t="shared" si="23"/>
        <v>15.704918032786885</v>
      </c>
      <c r="E702" s="9">
        <f t="shared" ref="E702:E731" si="24">D702*(1460-C702)/30</f>
        <v>15.181420765027323</v>
      </c>
    </row>
    <row r="703" spans="1:5" x14ac:dyDescent="0.2">
      <c r="A703" s="5">
        <v>702</v>
      </c>
      <c r="B703" s="5">
        <v>4</v>
      </c>
      <c r="C703" s="6">
        <f t="shared" si="22"/>
        <v>1432</v>
      </c>
      <c r="D703" s="2">
        <f t="shared" si="23"/>
        <v>15.704918032786885</v>
      </c>
      <c r="E703" s="9">
        <f t="shared" si="24"/>
        <v>14.657923497267761</v>
      </c>
    </row>
    <row r="704" spans="1:5" x14ac:dyDescent="0.2">
      <c r="A704" s="5">
        <v>703</v>
      </c>
      <c r="B704" s="5">
        <v>35</v>
      </c>
      <c r="C704" s="6">
        <f t="shared" si="22"/>
        <v>1433</v>
      </c>
      <c r="D704" s="2">
        <f t="shared" si="23"/>
        <v>15.704918032786885</v>
      </c>
      <c r="E704" s="9">
        <f t="shared" si="24"/>
        <v>14.134426229508197</v>
      </c>
    </row>
    <row r="705" spans="1:5" x14ac:dyDescent="0.2">
      <c r="A705" s="5">
        <v>704</v>
      </c>
      <c r="B705" s="5">
        <v>6</v>
      </c>
      <c r="C705" s="6">
        <f t="shared" si="22"/>
        <v>1434</v>
      </c>
      <c r="D705" s="2">
        <f t="shared" si="23"/>
        <v>15.704918032786885</v>
      </c>
      <c r="E705" s="9">
        <f t="shared" si="24"/>
        <v>13.610928961748634</v>
      </c>
    </row>
    <row r="706" spans="1:5" x14ac:dyDescent="0.2">
      <c r="A706" s="5">
        <v>705</v>
      </c>
      <c r="B706" s="5">
        <v>6</v>
      </c>
      <c r="C706" s="6">
        <f t="shared" si="22"/>
        <v>1435</v>
      </c>
      <c r="D706" s="2">
        <f t="shared" si="23"/>
        <v>15.704918032786885</v>
      </c>
      <c r="E706" s="9">
        <f t="shared" si="24"/>
        <v>13.087431693989071</v>
      </c>
    </row>
    <row r="707" spans="1:5" x14ac:dyDescent="0.2">
      <c r="A707" s="5">
        <v>706</v>
      </c>
      <c r="B707" s="5">
        <v>4</v>
      </c>
      <c r="C707" s="6">
        <f t="shared" ref="C707:C731" si="25">A707+730</f>
        <v>1436</v>
      </c>
      <c r="D707" s="2">
        <f t="shared" si="23"/>
        <v>15.704918032786885</v>
      </c>
      <c r="E707" s="9">
        <f t="shared" si="24"/>
        <v>12.563934426229508</v>
      </c>
    </row>
    <row r="708" spans="1:5" x14ac:dyDescent="0.2">
      <c r="A708" s="5">
        <v>707</v>
      </c>
      <c r="B708" s="5">
        <v>29</v>
      </c>
      <c r="C708" s="6">
        <f t="shared" si="25"/>
        <v>1437</v>
      </c>
      <c r="D708" s="2">
        <f t="shared" ref="D708:D731" si="26">$D$2</f>
        <v>15.704918032786885</v>
      </c>
      <c r="E708" s="9">
        <f t="shared" si="24"/>
        <v>12.040437158469945</v>
      </c>
    </row>
    <row r="709" spans="1:5" x14ac:dyDescent="0.2">
      <c r="A709" s="5">
        <v>708</v>
      </c>
      <c r="B709" s="5">
        <v>32</v>
      </c>
      <c r="C709" s="6">
        <f t="shared" si="25"/>
        <v>1438</v>
      </c>
      <c r="D709" s="2">
        <f t="shared" si="26"/>
        <v>15.704918032786885</v>
      </c>
      <c r="E709" s="9">
        <f t="shared" si="24"/>
        <v>11.516939890710383</v>
      </c>
    </row>
    <row r="710" spans="1:5" x14ac:dyDescent="0.2">
      <c r="A710" s="5">
        <v>709</v>
      </c>
      <c r="B710" s="5">
        <v>16</v>
      </c>
      <c r="C710" s="6">
        <f t="shared" si="25"/>
        <v>1439</v>
      </c>
      <c r="D710" s="2">
        <f t="shared" si="26"/>
        <v>15.704918032786885</v>
      </c>
      <c r="E710" s="9">
        <f t="shared" si="24"/>
        <v>10.99344262295082</v>
      </c>
    </row>
    <row r="711" spans="1:5" x14ac:dyDescent="0.2">
      <c r="A711" s="5">
        <v>710</v>
      </c>
      <c r="B711" s="5">
        <v>27</v>
      </c>
      <c r="C711" s="6">
        <f t="shared" si="25"/>
        <v>1440</v>
      </c>
      <c r="D711" s="2">
        <f t="shared" si="26"/>
        <v>15.704918032786885</v>
      </c>
      <c r="E711" s="9">
        <f t="shared" si="24"/>
        <v>10.469945355191255</v>
      </c>
    </row>
    <row r="712" spans="1:5" x14ac:dyDescent="0.2">
      <c r="A712" s="5">
        <v>711</v>
      </c>
      <c r="B712" s="5">
        <v>0</v>
      </c>
      <c r="C712" s="6">
        <f t="shared" si="25"/>
        <v>1441</v>
      </c>
      <c r="D712" s="2">
        <f t="shared" si="26"/>
        <v>15.704918032786885</v>
      </c>
      <c r="E712" s="9">
        <f t="shared" si="24"/>
        <v>9.9464480874316941</v>
      </c>
    </row>
    <row r="713" spans="1:5" x14ac:dyDescent="0.2">
      <c r="A713" s="5">
        <v>712</v>
      </c>
      <c r="B713" s="5">
        <v>21</v>
      </c>
      <c r="C713" s="6">
        <f t="shared" si="25"/>
        <v>1442</v>
      </c>
      <c r="D713" s="2">
        <f t="shared" si="26"/>
        <v>15.704918032786885</v>
      </c>
      <c r="E713" s="9">
        <f t="shared" si="24"/>
        <v>9.4229508196721312</v>
      </c>
    </row>
    <row r="714" spans="1:5" x14ac:dyDescent="0.2">
      <c r="A714" s="5">
        <v>713</v>
      </c>
      <c r="B714" s="5">
        <v>0</v>
      </c>
      <c r="C714" s="6">
        <f t="shared" si="25"/>
        <v>1443</v>
      </c>
      <c r="D714" s="2">
        <f t="shared" si="26"/>
        <v>15.704918032786885</v>
      </c>
      <c r="E714" s="9">
        <f t="shared" si="24"/>
        <v>8.8994535519125684</v>
      </c>
    </row>
    <row r="715" spans="1:5" x14ac:dyDescent="0.2">
      <c r="A715" s="5">
        <v>714</v>
      </c>
      <c r="B715" s="5">
        <v>34</v>
      </c>
      <c r="C715" s="6">
        <f t="shared" si="25"/>
        <v>1444</v>
      </c>
      <c r="D715" s="2">
        <f t="shared" si="26"/>
        <v>15.704918032786885</v>
      </c>
      <c r="E715" s="9">
        <f t="shared" si="24"/>
        <v>8.3759562841530055</v>
      </c>
    </row>
    <row r="716" spans="1:5" x14ac:dyDescent="0.2">
      <c r="A716" s="5">
        <v>715</v>
      </c>
      <c r="B716" s="5">
        <v>0</v>
      </c>
      <c r="C716" s="6">
        <f t="shared" si="25"/>
        <v>1445</v>
      </c>
      <c r="D716" s="2">
        <f t="shared" si="26"/>
        <v>15.704918032786885</v>
      </c>
      <c r="E716" s="9">
        <f t="shared" si="24"/>
        <v>7.8524590163934427</v>
      </c>
    </row>
    <row r="717" spans="1:5" x14ac:dyDescent="0.2">
      <c r="A717" s="5">
        <v>716</v>
      </c>
      <c r="B717" s="5">
        <v>16</v>
      </c>
      <c r="C717" s="6">
        <f t="shared" si="25"/>
        <v>1446</v>
      </c>
      <c r="D717" s="2">
        <f t="shared" si="26"/>
        <v>15.704918032786885</v>
      </c>
      <c r="E717" s="9">
        <f t="shared" si="24"/>
        <v>7.3289617486338807</v>
      </c>
    </row>
    <row r="718" spans="1:5" x14ac:dyDescent="0.2">
      <c r="A718" s="5">
        <v>717</v>
      </c>
      <c r="B718" s="5">
        <v>35</v>
      </c>
      <c r="C718" s="6">
        <f t="shared" si="25"/>
        <v>1447</v>
      </c>
      <c r="D718" s="2">
        <f t="shared" si="26"/>
        <v>15.704918032786885</v>
      </c>
      <c r="E718" s="9">
        <f t="shared" si="24"/>
        <v>6.805464480874317</v>
      </c>
    </row>
    <row r="719" spans="1:5" x14ac:dyDescent="0.2">
      <c r="A719" s="5">
        <v>718</v>
      </c>
      <c r="B719" s="5">
        <v>19</v>
      </c>
      <c r="C719" s="6">
        <f t="shared" si="25"/>
        <v>1448</v>
      </c>
      <c r="D719" s="2">
        <f t="shared" si="26"/>
        <v>15.704918032786885</v>
      </c>
      <c r="E719" s="9">
        <f t="shared" si="24"/>
        <v>6.2819672131147541</v>
      </c>
    </row>
    <row r="720" spans="1:5" x14ac:dyDescent="0.2">
      <c r="A720" s="5">
        <v>719</v>
      </c>
      <c r="B720" s="5">
        <v>18</v>
      </c>
      <c r="C720" s="6">
        <f t="shared" si="25"/>
        <v>1449</v>
      </c>
      <c r="D720" s="2">
        <f t="shared" si="26"/>
        <v>15.704918032786885</v>
      </c>
      <c r="E720" s="9">
        <f t="shared" si="24"/>
        <v>5.7584699453551913</v>
      </c>
    </row>
    <row r="721" spans="1:5" x14ac:dyDescent="0.2">
      <c r="A721" s="5">
        <v>720</v>
      </c>
      <c r="B721" s="5">
        <v>25</v>
      </c>
      <c r="C721" s="6">
        <f t="shared" si="25"/>
        <v>1450</v>
      </c>
      <c r="D721" s="2">
        <f t="shared" si="26"/>
        <v>15.704918032786885</v>
      </c>
      <c r="E721" s="9">
        <f t="shared" si="24"/>
        <v>5.2349726775956276</v>
      </c>
    </row>
    <row r="722" spans="1:5" x14ac:dyDescent="0.2">
      <c r="A722" s="5">
        <v>721</v>
      </c>
      <c r="B722" s="5">
        <v>3</v>
      </c>
      <c r="C722" s="6">
        <f t="shared" si="25"/>
        <v>1451</v>
      </c>
      <c r="D722" s="2">
        <f t="shared" si="26"/>
        <v>15.704918032786885</v>
      </c>
      <c r="E722" s="9">
        <f t="shared" si="24"/>
        <v>4.7114754098360656</v>
      </c>
    </row>
    <row r="723" spans="1:5" x14ac:dyDescent="0.2">
      <c r="A723" s="5">
        <v>722</v>
      </c>
      <c r="B723" s="5">
        <v>6</v>
      </c>
      <c r="C723" s="6">
        <f t="shared" si="25"/>
        <v>1452</v>
      </c>
      <c r="D723" s="2">
        <f t="shared" si="26"/>
        <v>15.704918032786885</v>
      </c>
      <c r="E723" s="9">
        <f t="shared" si="24"/>
        <v>4.1879781420765028</v>
      </c>
    </row>
    <row r="724" spans="1:5" x14ac:dyDescent="0.2">
      <c r="A724" s="5">
        <v>723</v>
      </c>
      <c r="B724" s="5">
        <v>0</v>
      </c>
      <c r="C724" s="6">
        <f t="shared" si="25"/>
        <v>1453</v>
      </c>
      <c r="D724" s="2">
        <f t="shared" si="26"/>
        <v>15.704918032786885</v>
      </c>
      <c r="E724" s="9">
        <f t="shared" si="24"/>
        <v>3.6644808743169404</v>
      </c>
    </row>
    <row r="725" spans="1:5" x14ac:dyDescent="0.2">
      <c r="A725" s="5">
        <v>724</v>
      </c>
      <c r="B725" s="5">
        <v>25</v>
      </c>
      <c r="C725" s="6">
        <f t="shared" si="25"/>
        <v>1454</v>
      </c>
      <c r="D725" s="2">
        <f t="shared" si="26"/>
        <v>15.704918032786885</v>
      </c>
      <c r="E725" s="9">
        <f t="shared" si="24"/>
        <v>3.1409836065573771</v>
      </c>
    </row>
    <row r="726" spans="1:5" x14ac:dyDescent="0.2">
      <c r="A726" s="5">
        <v>725</v>
      </c>
      <c r="B726" s="5">
        <v>15</v>
      </c>
      <c r="C726" s="6">
        <f t="shared" si="25"/>
        <v>1455</v>
      </c>
      <c r="D726" s="2">
        <f t="shared" si="26"/>
        <v>15.704918032786885</v>
      </c>
      <c r="E726" s="9">
        <f t="shared" si="24"/>
        <v>2.6174863387978138</v>
      </c>
    </row>
    <row r="727" spans="1:5" x14ac:dyDescent="0.2">
      <c r="A727" s="5">
        <v>726</v>
      </c>
      <c r="B727" s="5">
        <v>0</v>
      </c>
      <c r="C727" s="6">
        <f t="shared" si="25"/>
        <v>1456</v>
      </c>
      <c r="D727" s="2">
        <f t="shared" si="26"/>
        <v>15.704918032786885</v>
      </c>
      <c r="E727" s="9">
        <f t="shared" si="24"/>
        <v>2.0939890710382514</v>
      </c>
    </row>
    <row r="728" spans="1:5" x14ac:dyDescent="0.2">
      <c r="A728" s="5">
        <v>727</v>
      </c>
      <c r="B728" s="5">
        <v>32</v>
      </c>
      <c r="C728" s="6">
        <f t="shared" si="25"/>
        <v>1457</v>
      </c>
      <c r="D728" s="2">
        <f t="shared" si="26"/>
        <v>15.704918032786885</v>
      </c>
      <c r="E728" s="9">
        <f t="shared" si="24"/>
        <v>1.5704918032786885</v>
      </c>
    </row>
    <row r="729" spans="1:5" x14ac:dyDescent="0.2">
      <c r="A729" s="5">
        <v>728</v>
      </c>
      <c r="B729" s="5">
        <v>11</v>
      </c>
      <c r="C729" s="6">
        <f t="shared" si="25"/>
        <v>1458</v>
      </c>
      <c r="D729" s="2">
        <f t="shared" si="26"/>
        <v>15.704918032786885</v>
      </c>
      <c r="E729" s="9">
        <f t="shared" si="24"/>
        <v>1.0469945355191257</v>
      </c>
    </row>
    <row r="730" spans="1:5" x14ac:dyDescent="0.2">
      <c r="A730" s="5">
        <v>729</v>
      </c>
      <c r="B730" s="5">
        <v>0</v>
      </c>
      <c r="C730" s="6">
        <f t="shared" si="25"/>
        <v>1459</v>
      </c>
      <c r="D730" s="2">
        <f t="shared" si="26"/>
        <v>15.704918032786885</v>
      </c>
      <c r="E730" s="9">
        <f t="shared" si="24"/>
        <v>0.52349726775956285</v>
      </c>
    </row>
    <row r="731" spans="1:5" x14ac:dyDescent="0.2">
      <c r="A731" s="5">
        <v>730</v>
      </c>
      <c r="B731" s="5">
        <v>3</v>
      </c>
      <c r="C731" s="6">
        <f t="shared" si="25"/>
        <v>1460</v>
      </c>
      <c r="D731" s="2">
        <f t="shared" si="26"/>
        <v>15.704918032786885</v>
      </c>
      <c r="E731" s="9">
        <f t="shared" si="24"/>
        <v>0</v>
      </c>
    </row>
  </sheetData>
  <pageMargins left="0.7" right="0.7" top="0.75" bottom="0.75" header="0.3" footer="0.3"/>
  <pageSetup orientation="portrait" horizontalDpi="0" verticalDpi="0"/>
  <ignoredErrors>
    <ignoredError sqref="A1:A731 B1:B73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7A25-A2B1-3846-B6D2-6A0FE976D740}">
  <dimension ref="A1:L731"/>
  <sheetViews>
    <sheetView workbookViewId="0"/>
  </sheetViews>
  <sheetFormatPr baseColWidth="10" defaultRowHeight="16" x14ac:dyDescent="0.2"/>
  <cols>
    <col min="8" max="8" width="29.33203125" customWidth="1"/>
  </cols>
  <sheetData>
    <row r="1" spans="1:12" x14ac:dyDescent="0.2">
      <c r="A1" t="s">
        <v>0</v>
      </c>
      <c r="B1" t="s">
        <v>4</v>
      </c>
      <c r="C1" t="s">
        <v>32</v>
      </c>
      <c r="D1" t="s">
        <v>44</v>
      </c>
      <c r="E1" t="s">
        <v>28</v>
      </c>
      <c r="H1" t="s">
        <v>65</v>
      </c>
    </row>
    <row r="2" spans="1:12" x14ac:dyDescent="0.2">
      <c r="A2">
        <v>1</v>
      </c>
      <c r="B2">
        <v>0</v>
      </c>
      <c r="C2">
        <f>A2+730</f>
        <v>731</v>
      </c>
      <c r="D2" s="2">
        <f>$I$8</f>
        <v>12.5</v>
      </c>
      <c r="H2" t="s">
        <v>66</v>
      </c>
    </row>
    <row r="3" spans="1:12" x14ac:dyDescent="0.2">
      <c r="A3">
        <v>2</v>
      </c>
      <c r="B3">
        <v>0</v>
      </c>
      <c r="C3">
        <f t="shared" ref="C3:C66" si="0">A3+730</f>
        <v>732</v>
      </c>
      <c r="D3" s="2">
        <f t="shared" ref="D3:D66" si="1">$I$8</f>
        <v>12.5</v>
      </c>
      <c r="H3" t="s">
        <v>39</v>
      </c>
    </row>
    <row r="4" spans="1:12" x14ac:dyDescent="0.2">
      <c r="A4">
        <v>3</v>
      </c>
      <c r="B4">
        <v>0</v>
      </c>
      <c r="C4">
        <f t="shared" si="0"/>
        <v>733</v>
      </c>
      <c r="D4" s="2">
        <f t="shared" si="1"/>
        <v>12.5</v>
      </c>
    </row>
    <row r="5" spans="1:12" x14ac:dyDescent="0.2">
      <c r="A5">
        <v>4</v>
      </c>
      <c r="B5">
        <v>0</v>
      </c>
      <c r="C5">
        <f t="shared" si="0"/>
        <v>734</v>
      </c>
      <c r="D5" s="2">
        <f t="shared" si="1"/>
        <v>12.5</v>
      </c>
      <c r="H5" t="s">
        <v>36</v>
      </c>
      <c r="I5">
        <v>60</v>
      </c>
    </row>
    <row r="6" spans="1:12" x14ac:dyDescent="0.2">
      <c r="A6">
        <v>5</v>
      </c>
      <c r="B6">
        <v>0</v>
      </c>
      <c r="C6">
        <f t="shared" si="0"/>
        <v>735</v>
      </c>
      <c r="D6" s="2">
        <f t="shared" si="1"/>
        <v>12.5</v>
      </c>
      <c r="H6" t="s">
        <v>35</v>
      </c>
      <c r="I6">
        <v>3</v>
      </c>
    </row>
    <row r="7" spans="1:12" x14ac:dyDescent="0.2">
      <c r="A7">
        <v>6</v>
      </c>
      <c r="B7">
        <v>0</v>
      </c>
      <c r="C7">
        <f t="shared" si="0"/>
        <v>736</v>
      </c>
      <c r="D7" s="2">
        <f t="shared" si="1"/>
        <v>12.5</v>
      </c>
      <c r="H7" t="s">
        <v>37</v>
      </c>
      <c r="I7" s="2">
        <f>I5/I6</f>
        <v>20</v>
      </c>
    </row>
    <row r="8" spans="1:12" x14ac:dyDescent="0.2">
      <c r="A8">
        <v>7</v>
      </c>
      <c r="B8">
        <v>0</v>
      </c>
      <c r="C8">
        <f t="shared" si="0"/>
        <v>737</v>
      </c>
      <c r="D8" s="2">
        <f t="shared" si="1"/>
        <v>12.5</v>
      </c>
      <c r="H8" t="s">
        <v>38</v>
      </c>
      <c r="I8" s="2">
        <f>250/I7</f>
        <v>12.5</v>
      </c>
    </row>
    <row r="9" spans="1:12" x14ac:dyDescent="0.2">
      <c r="A9">
        <v>8</v>
      </c>
      <c r="B9">
        <v>0</v>
      </c>
      <c r="C9">
        <f t="shared" si="0"/>
        <v>738</v>
      </c>
      <c r="D9" s="2">
        <f t="shared" si="1"/>
        <v>12.5</v>
      </c>
    </row>
    <row r="10" spans="1:12" x14ac:dyDescent="0.2">
      <c r="A10">
        <v>9</v>
      </c>
      <c r="B10">
        <v>0</v>
      </c>
      <c r="C10">
        <f t="shared" si="0"/>
        <v>739</v>
      </c>
      <c r="D10" s="2">
        <f t="shared" si="1"/>
        <v>12.5</v>
      </c>
      <c r="I10" t="s">
        <v>9</v>
      </c>
      <c r="J10" t="s">
        <v>10</v>
      </c>
      <c r="K10" t="s">
        <v>23</v>
      </c>
      <c r="L10" t="s">
        <v>57</v>
      </c>
    </row>
    <row r="11" spans="1:12" x14ac:dyDescent="0.2">
      <c r="A11">
        <v>10</v>
      </c>
      <c r="B11">
        <v>0</v>
      </c>
      <c r="C11">
        <f t="shared" si="0"/>
        <v>740</v>
      </c>
      <c r="D11" s="2">
        <f t="shared" si="1"/>
        <v>12.5</v>
      </c>
      <c r="H11" s="3" t="s">
        <v>20</v>
      </c>
      <c r="I11">
        <f>731</f>
        <v>731</v>
      </c>
      <c r="J11">
        <f>I11+72</f>
        <v>803</v>
      </c>
      <c r="K11" s="2">
        <f>AVERAGE($D$2:$D$74)</f>
        <v>12.5</v>
      </c>
      <c r="L11" s="2">
        <f>30/(250/K11)</f>
        <v>1.5</v>
      </c>
    </row>
    <row r="12" spans="1:12" x14ac:dyDescent="0.2">
      <c r="A12">
        <v>11</v>
      </c>
      <c r="B12">
        <v>0</v>
      </c>
      <c r="C12">
        <f t="shared" si="0"/>
        <v>741</v>
      </c>
      <c r="D12" s="2">
        <f t="shared" si="1"/>
        <v>12.5</v>
      </c>
      <c r="H12" s="3" t="s">
        <v>16</v>
      </c>
      <c r="I12">
        <f>J11+1</f>
        <v>804</v>
      </c>
      <c r="J12">
        <f>I12+72</f>
        <v>876</v>
      </c>
      <c r="K12" s="2">
        <f>AVERAGE($D$75:$D$147)</f>
        <v>12.5</v>
      </c>
      <c r="L12" s="2">
        <f t="shared" ref="L12:L21" si="2">30/(250/K12)</f>
        <v>1.5</v>
      </c>
    </row>
    <row r="13" spans="1:12" x14ac:dyDescent="0.2">
      <c r="A13">
        <v>12</v>
      </c>
      <c r="B13">
        <v>0</v>
      </c>
      <c r="C13">
        <f t="shared" si="0"/>
        <v>742</v>
      </c>
      <c r="D13" s="2">
        <f t="shared" si="1"/>
        <v>12.5</v>
      </c>
      <c r="H13" s="3" t="s">
        <v>8</v>
      </c>
      <c r="I13">
        <f>J12+1</f>
        <v>877</v>
      </c>
      <c r="J13">
        <f t="shared" ref="J13:J19" si="3">I13+72</f>
        <v>949</v>
      </c>
      <c r="K13" s="2">
        <f>AVERAGE($D$148:$D$220)</f>
        <v>12.5</v>
      </c>
      <c r="L13" s="2">
        <f t="shared" si="2"/>
        <v>1.5</v>
      </c>
    </row>
    <row r="14" spans="1:12" x14ac:dyDescent="0.2">
      <c r="A14">
        <v>13</v>
      </c>
      <c r="B14">
        <v>0</v>
      </c>
      <c r="C14">
        <f t="shared" si="0"/>
        <v>743</v>
      </c>
      <c r="D14" s="2">
        <f t="shared" si="1"/>
        <v>12.5</v>
      </c>
      <c r="H14" s="3" t="s">
        <v>17</v>
      </c>
      <c r="I14">
        <f t="shared" ref="I14:I21" si="4">J13+1</f>
        <v>950</v>
      </c>
      <c r="J14">
        <f t="shared" si="3"/>
        <v>1022</v>
      </c>
      <c r="K14" s="2">
        <f>AVERAGE($D$221:$D$293)</f>
        <v>12.5</v>
      </c>
      <c r="L14" s="2">
        <f t="shared" si="2"/>
        <v>1.5</v>
      </c>
    </row>
    <row r="15" spans="1:12" x14ac:dyDescent="0.2">
      <c r="A15">
        <v>14</v>
      </c>
      <c r="B15">
        <v>0</v>
      </c>
      <c r="C15">
        <f t="shared" si="0"/>
        <v>744</v>
      </c>
      <c r="D15" s="2">
        <f t="shared" si="1"/>
        <v>12.5</v>
      </c>
      <c r="H15" s="3" t="s">
        <v>21</v>
      </c>
      <c r="I15">
        <f t="shared" si="4"/>
        <v>1023</v>
      </c>
      <c r="J15">
        <f t="shared" si="3"/>
        <v>1095</v>
      </c>
      <c r="K15" s="2">
        <f>AVERAGE($D$294:$D$366)</f>
        <v>12.5</v>
      </c>
      <c r="L15" s="2">
        <f t="shared" si="2"/>
        <v>1.5</v>
      </c>
    </row>
    <row r="16" spans="1:12" x14ac:dyDescent="0.2">
      <c r="A16">
        <v>15</v>
      </c>
      <c r="B16">
        <v>0</v>
      </c>
      <c r="C16">
        <f t="shared" si="0"/>
        <v>745</v>
      </c>
      <c r="D16" s="2">
        <f t="shared" si="1"/>
        <v>12.5</v>
      </c>
      <c r="H16" s="4" t="s">
        <v>20</v>
      </c>
      <c r="I16">
        <f t="shared" si="4"/>
        <v>1096</v>
      </c>
      <c r="J16">
        <f t="shared" si="3"/>
        <v>1168</v>
      </c>
      <c r="K16" s="2">
        <f>AVERAGE($D$367:$D$439)</f>
        <v>12.5</v>
      </c>
      <c r="L16" s="2">
        <f t="shared" si="2"/>
        <v>1.5</v>
      </c>
    </row>
    <row r="17" spans="1:12" x14ac:dyDescent="0.2">
      <c r="A17">
        <v>16</v>
      </c>
      <c r="B17">
        <v>0</v>
      </c>
      <c r="C17">
        <f t="shared" si="0"/>
        <v>746</v>
      </c>
      <c r="D17" s="2">
        <f t="shared" si="1"/>
        <v>12.5</v>
      </c>
      <c r="H17" s="4" t="s">
        <v>16</v>
      </c>
      <c r="I17">
        <f t="shared" si="4"/>
        <v>1169</v>
      </c>
      <c r="J17">
        <f t="shared" si="3"/>
        <v>1241</v>
      </c>
      <c r="K17" s="2">
        <f>AVERAGE($D$440:$D$512)</f>
        <v>12.5</v>
      </c>
      <c r="L17" s="2">
        <f t="shared" si="2"/>
        <v>1.5</v>
      </c>
    </row>
    <row r="18" spans="1:12" x14ac:dyDescent="0.2">
      <c r="A18">
        <v>17</v>
      </c>
      <c r="B18">
        <v>0</v>
      </c>
      <c r="C18">
        <f t="shared" si="0"/>
        <v>747</v>
      </c>
      <c r="D18" s="2">
        <f t="shared" si="1"/>
        <v>12.5</v>
      </c>
      <c r="H18" s="4" t="s">
        <v>8</v>
      </c>
      <c r="I18">
        <f t="shared" si="4"/>
        <v>1242</v>
      </c>
      <c r="J18">
        <f t="shared" si="3"/>
        <v>1314</v>
      </c>
      <c r="K18" s="2">
        <f>AVERAGE($D$513:$D$585)</f>
        <v>12.5</v>
      </c>
      <c r="L18" s="2">
        <f t="shared" si="2"/>
        <v>1.5</v>
      </c>
    </row>
    <row r="19" spans="1:12" x14ac:dyDescent="0.2">
      <c r="A19">
        <v>18</v>
      </c>
      <c r="B19">
        <v>0</v>
      </c>
      <c r="C19">
        <f t="shared" si="0"/>
        <v>748</v>
      </c>
      <c r="D19" s="2">
        <f t="shared" si="1"/>
        <v>12.5</v>
      </c>
      <c r="H19" s="4" t="s">
        <v>17</v>
      </c>
      <c r="I19">
        <f t="shared" si="4"/>
        <v>1315</v>
      </c>
      <c r="J19">
        <f t="shared" si="3"/>
        <v>1387</v>
      </c>
      <c r="K19" s="2">
        <f>AVERAGE($D$586:$D$658)</f>
        <v>12.5</v>
      </c>
      <c r="L19" s="2">
        <f t="shared" si="2"/>
        <v>1.5</v>
      </c>
    </row>
    <row r="20" spans="1:12" x14ac:dyDescent="0.2">
      <c r="A20">
        <v>19</v>
      </c>
      <c r="B20">
        <v>0</v>
      </c>
      <c r="C20">
        <f t="shared" si="0"/>
        <v>749</v>
      </c>
      <c r="D20" s="2">
        <f t="shared" si="1"/>
        <v>12.5</v>
      </c>
      <c r="H20" s="4" t="s">
        <v>21</v>
      </c>
      <c r="I20">
        <f t="shared" si="4"/>
        <v>1388</v>
      </c>
      <c r="J20">
        <f>I20+41</f>
        <v>1429</v>
      </c>
      <c r="K20" s="2">
        <f>AVERAGE($D$659:$D$700)</f>
        <v>12.5</v>
      </c>
      <c r="L20" s="2">
        <f t="shared" si="2"/>
        <v>1.5</v>
      </c>
    </row>
    <row r="21" spans="1:12" x14ac:dyDescent="0.2">
      <c r="A21">
        <v>20</v>
      </c>
      <c r="B21">
        <v>0</v>
      </c>
      <c r="C21">
        <f t="shared" si="0"/>
        <v>750</v>
      </c>
      <c r="D21" s="2">
        <f t="shared" si="1"/>
        <v>12.5</v>
      </c>
      <c r="H21" s="6" t="s">
        <v>48</v>
      </c>
      <c r="I21">
        <f t="shared" si="4"/>
        <v>1430</v>
      </c>
      <c r="J21">
        <f>I21+30</f>
        <v>1460</v>
      </c>
      <c r="K21" s="2">
        <f>AVERAGE($E$701:$E$731)</f>
        <v>6.25</v>
      </c>
      <c r="L21" s="2">
        <f t="shared" si="2"/>
        <v>0.75</v>
      </c>
    </row>
    <row r="22" spans="1:12" x14ac:dyDescent="0.2">
      <c r="A22">
        <v>21</v>
      </c>
      <c r="B22">
        <v>0</v>
      </c>
      <c r="C22">
        <f t="shared" si="0"/>
        <v>751</v>
      </c>
      <c r="D22" s="2">
        <f t="shared" si="1"/>
        <v>12.5</v>
      </c>
    </row>
    <row r="23" spans="1:12" x14ac:dyDescent="0.2">
      <c r="A23">
        <v>22</v>
      </c>
      <c r="B23">
        <v>0</v>
      </c>
      <c r="C23">
        <f t="shared" si="0"/>
        <v>752</v>
      </c>
      <c r="D23" s="2">
        <f t="shared" si="1"/>
        <v>12.5</v>
      </c>
    </row>
    <row r="24" spans="1:12" x14ac:dyDescent="0.2">
      <c r="A24">
        <v>23</v>
      </c>
      <c r="B24">
        <v>0</v>
      </c>
      <c r="C24">
        <f t="shared" si="0"/>
        <v>753</v>
      </c>
      <c r="D24" s="2">
        <f t="shared" si="1"/>
        <v>12.5</v>
      </c>
    </row>
    <row r="25" spans="1:12" x14ac:dyDescent="0.2">
      <c r="A25">
        <v>24</v>
      </c>
      <c r="B25">
        <v>0</v>
      </c>
      <c r="C25">
        <f t="shared" si="0"/>
        <v>754</v>
      </c>
      <c r="D25" s="2">
        <f t="shared" si="1"/>
        <v>12.5</v>
      </c>
    </row>
    <row r="26" spans="1:12" x14ac:dyDescent="0.2">
      <c r="A26">
        <v>25</v>
      </c>
      <c r="B26">
        <v>0</v>
      </c>
      <c r="C26">
        <f t="shared" si="0"/>
        <v>755</v>
      </c>
      <c r="D26" s="2">
        <f t="shared" si="1"/>
        <v>12.5</v>
      </c>
    </row>
    <row r="27" spans="1:12" x14ac:dyDescent="0.2">
      <c r="A27">
        <v>26</v>
      </c>
      <c r="B27">
        <v>0</v>
      </c>
      <c r="C27">
        <f t="shared" si="0"/>
        <v>756</v>
      </c>
      <c r="D27" s="2">
        <f t="shared" si="1"/>
        <v>12.5</v>
      </c>
    </row>
    <row r="28" spans="1:12" x14ac:dyDescent="0.2">
      <c r="A28">
        <v>27</v>
      </c>
      <c r="B28">
        <v>0</v>
      </c>
      <c r="C28">
        <f t="shared" si="0"/>
        <v>757</v>
      </c>
      <c r="D28" s="2">
        <f t="shared" si="1"/>
        <v>12.5</v>
      </c>
    </row>
    <row r="29" spans="1:12" x14ac:dyDescent="0.2">
      <c r="A29">
        <v>28</v>
      </c>
      <c r="B29">
        <v>0</v>
      </c>
      <c r="C29">
        <f t="shared" si="0"/>
        <v>758</v>
      </c>
      <c r="D29" s="2">
        <f t="shared" si="1"/>
        <v>12.5</v>
      </c>
    </row>
    <row r="30" spans="1:12" x14ac:dyDescent="0.2">
      <c r="A30">
        <v>29</v>
      </c>
      <c r="B30">
        <v>0</v>
      </c>
      <c r="C30">
        <f t="shared" si="0"/>
        <v>759</v>
      </c>
      <c r="D30" s="2">
        <f t="shared" si="1"/>
        <v>12.5</v>
      </c>
    </row>
    <row r="31" spans="1:12" x14ac:dyDescent="0.2">
      <c r="A31">
        <v>30</v>
      </c>
      <c r="B31">
        <v>0</v>
      </c>
      <c r="C31">
        <f t="shared" si="0"/>
        <v>760</v>
      </c>
      <c r="D31" s="2">
        <f t="shared" si="1"/>
        <v>12.5</v>
      </c>
    </row>
    <row r="32" spans="1:12" x14ac:dyDescent="0.2">
      <c r="A32">
        <v>31</v>
      </c>
      <c r="B32">
        <v>0</v>
      </c>
      <c r="C32">
        <f t="shared" si="0"/>
        <v>761</v>
      </c>
      <c r="D32" s="2">
        <f t="shared" si="1"/>
        <v>12.5</v>
      </c>
    </row>
    <row r="33" spans="1:4" x14ac:dyDescent="0.2">
      <c r="A33">
        <v>32</v>
      </c>
      <c r="B33">
        <v>0</v>
      </c>
      <c r="C33">
        <f t="shared" si="0"/>
        <v>762</v>
      </c>
      <c r="D33" s="2">
        <f t="shared" si="1"/>
        <v>12.5</v>
      </c>
    </row>
    <row r="34" spans="1:4" x14ac:dyDescent="0.2">
      <c r="A34">
        <v>33</v>
      </c>
      <c r="B34">
        <v>0</v>
      </c>
      <c r="C34">
        <f t="shared" si="0"/>
        <v>763</v>
      </c>
      <c r="D34" s="2">
        <f t="shared" si="1"/>
        <v>12.5</v>
      </c>
    </row>
    <row r="35" spans="1:4" x14ac:dyDescent="0.2">
      <c r="A35">
        <v>34</v>
      </c>
      <c r="B35">
        <v>0</v>
      </c>
      <c r="C35">
        <f t="shared" si="0"/>
        <v>764</v>
      </c>
      <c r="D35" s="2">
        <f t="shared" si="1"/>
        <v>12.5</v>
      </c>
    </row>
    <row r="36" spans="1:4" x14ac:dyDescent="0.2">
      <c r="A36">
        <v>35</v>
      </c>
      <c r="B36">
        <v>0</v>
      </c>
      <c r="C36">
        <f t="shared" si="0"/>
        <v>765</v>
      </c>
      <c r="D36" s="2">
        <f t="shared" si="1"/>
        <v>12.5</v>
      </c>
    </row>
    <row r="37" spans="1:4" x14ac:dyDescent="0.2">
      <c r="A37">
        <v>36</v>
      </c>
      <c r="B37">
        <v>0</v>
      </c>
      <c r="C37">
        <f t="shared" si="0"/>
        <v>766</v>
      </c>
      <c r="D37" s="2">
        <f t="shared" si="1"/>
        <v>12.5</v>
      </c>
    </row>
    <row r="38" spans="1:4" x14ac:dyDescent="0.2">
      <c r="A38">
        <v>37</v>
      </c>
      <c r="B38">
        <v>0</v>
      </c>
      <c r="C38">
        <f t="shared" si="0"/>
        <v>767</v>
      </c>
      <c r="D38" s="2">
        <f t="shared" si="1"/>
        <v>12.5</v>
      </c>
    </row>
    <row r="39" spans="1:4" x14ac:dyDescent="0.2">
      <c r="A39">
        <v>38</v>
      </c>
      <c r="B39">
        <v>0</v>
      </c>
      <c r="C39">
        <f t="shared" si="0"/>
        <v>768</v>
      </c>
      <c r="D39" s="2">
        <f t="shared" si="1"/>
        <v>12.5</v>
      </c>
    </row>
    <row r="40" spans="1:4" x14ac:dyDescent="0.2">
      <c r="A40">
        <v>39</v>
      </c>
      <c r="B40">
        <v>0</v>
      </c>
      <c r="C40">
        <f t="shared" si="0"/>
        <v>769</v>
      </c>
      <c r="D40" s="2">
        <f t="shared" si="1"/>
        <v>12.5</v>
      </c>
    </row>
    <row r="41" spans="1:4" x14ac:dyDescent="0.2">
      <c r="A41">
        <v>40</v>
      </c>
      <c r="B41">
        <v>0</v>
      </c>
      <c r="C41">
        <f t="shared" si="0"/>
        <v>770</v>
      </c>
      <c r="D41" s="2">
        <f t="shared" si="1"/>
        <v>12.5</v>
      </c>
    </row>
    <row r="42" spans="1:4" x14ac:dyDescent="0.2">
      <c r="A42">
        <v>41</v>
      </c>
      <c r="B42">
        <v>0</v>
      </c>
      <c r="C42">
        <f t="shared" si="0"/>
        <v>771</v>
      </c>
      <c r="D42" s="2">
        <f t="shared" si="1"/>
        <v>12.5</v>
      </c>
    </row>
    <row r="43" spans="1:4" x14ac:dyDescent="0.2">
      <c r="A43">
        <v>42</v>
      </c>
      <c r="B43">
        <v>0</v>
      </c>
      <c r="C43">
        <f t="shared" si="0"/>
        <v>772</v>
      </c>
      <c r="D43" s="2">
        <f t="shared" si="1"/>
        <v>12.5</v>
      </c>
    </row>
    <row r="44" spans="1:4" x14ac:dyDescent="0.2">
      <c r="A44">
        <v>43</v>
      </c>
      <c r="B44">
        <v>0</v>
      </c>
      <c r="C44">
        <f t="shared" si="0"/>
        <v>773</v>
      </c>
      <c r="D44" s="2">
        <f t="shared" si="1"/>
        <v>12.5</v>
      </c>
    </row>
    <row r="45" spans="1:4" x14ac:dyDescent="0.2">
      <c r="A45">
        <v>44</v>
      </c>
      <c r="B45">
        <v>0</v>
      </c>
      <c r="C45">
        <f t="shared" si="0"/>
        <v>774</v>
      </c>
      <c r="D45" s="2">
        <f t="shared" si="1"/>
        <v>12.5</v>
      </c>
    </row>
    <row r="46" spans="1:4" x14ac:dyDescent="0.2">
      <c r="A46">
        <v>45</v>
      </c>
      <c r="B46">
        <v>0</v>
      </c>
      <c r="C46">
        <f t="shared" si="0"/>
        <v>775</v>
      </c>
      <c r="D46" s="2">
        <f t="shared" si="1"/>
        <v>12.5</v>
      </c>
    </row>
    <row r="47" spans="1:4" x14ac:dyDescent="0.2">
      <c r="A47">
        <v>46</v>
      </c>
      <c r="B47">
        <v>0</v>
      </c>
      <c r="C47">
        <f t="shared" si="0"/>
        <v>776</v>
      </c>
      <c r="D47" s="2">
        <f t="shared" si="1"/>
        <v>12.5</v>
      </c>
    </row>
    <row r="48" spans="1:4" x14ac:dyDescent="0.2">
      <c r="A48">
        <v>47</v>
      </c>
      <c r="B48">
        <v>0</v>
      </c>
      <c r="C48">
        <f t="shared" si="0"/>
        <v>777</v>
      </c>
      <c r="D48" s="2">
        <f t="shared" si="1"/>
        <v>12.5</v>
      </c>
    </row>
    <row r="49" spans="1:4" x14ac:dyDescent="0.2">
      <c r="A49">
        <v>48</v>
      </c>
      <c r="B49">
        <v>0</v>
      </c>
      <c r="C49">
        <f t="shared" si="0"/>
        <v>778</v>
      </c>
      <c r="D49" s="2">
        <f t="shared" si="1"/>
        <v>12.5</v>
      </c>
    </row>
    <row r="50" spans="1:4" x14ac:dyDescent="0.2">
      <c r="A50">
        <v>49</v>
      </c>
      <c r="B50">
        <v>0</v>
      </c>
      <c r="C50">
        <f t="shared" si="0"/>
        <v>779</v>
      </c>
      <c r="D50" s="2">
        <f t="shared" si="1"/>
        <v>12.5</v>
      </c>
    </row>
    <row r="51" spans="1:4" x14ac:dyDescent="0.2">
      <c r="A51">
        <v>50</v>
      </c>
      <c r="B51">
        <v>0</v>
      </c>
      <c r="C51">
        <f t="shared" si="0"/>
        <v>780</v>
      </c>
      <c r="D51" s="2">
        <f t="shared" si="1"/>
        <v>12.5</v>
      </c>
    </row>
    <row r="52" spans="1:4" x14ac:dyDescent="0.2">
      <c r="A52">
        <v>51</v>
      </c>
      <c r="B52">
        <v>0</v>
      </c>
      <c r="C52">
        <f t="shared" si="0"/>
        <v>781</v>
      </c>
      <c r="D52" s="2">
        <f t="shared" si="1"/>
        <v>12.5</v>
      </c>
    </row>
    <row r="53" spans="1:4" x14ac:dyDescent="0.2">
      <c r="A53">
        <v>52</v>
      </c>
      <c r="B53">
        <v>0</v>
      </c>
      <c r="C53">
        <f t="shared" si="0"/>
        <v>782</v>
      </c>
      <c r="D53" s="2">
        <f t="shared" si="1"/>
        <v>12.5</v>
      </c>
    </row>
    <row r="54" spans="1:4" x14ac:dyDescent="0.2">
      <c r="A54">
        <v>53</v>
      </c>
      <c r="B54">
        <v>0</v>
      </c>
      <c r="C54">
        <f t="shared" si="0"/>
        <v>783</v>
      </c>
      <c r="D54" s="2">
        <f t="shared" si="1"/>
        <v>12.5</v>
      </c>
    </row>
    <row r="55" spans="1:4" x14ac:dyDescent="0.2">
      <c r="A55">
        <v>54</v>
      </c>
      <c r="B55">
        <v>0</v>
      </c>
      <c r="C55">
        <f t="shared" si="0"/>
        <v>784</v>
      </c>
      <c r="D55" s="2">
        <f t="shared" si="1"/>
        <v>12.5</v>
      </c>
    </row>
    <row r="56" spans="1:4" x14ac:dyDescent="0.2">
      <c r="A56">
        <v>55</v>
      </c>
      <c r="B56">
        <v>0</v>
      </c>
      <c r="C56">
        <f t="shared" si="0"/>
        <v>785</v>
      </c>
      <c r="D56" s="2">
        <f t="shared" si="1"/>
        <v>12.5</v>
      </c>
    </row>
    <row r="57" spans="1:4" x14ac:dyDescent="0.2">
      <c r="A57">
        <v>56</v>
      </c>
      <c r="B57">
        <v>0</v>
      </c>
      <c r="C57">
        <f t="shared" si="0"/>
        <v>786</v>
      </c>
      <c r="D57" s="2">
        <f t="shared" si="1"/>
        <v>12.5</v>
      </c>
    </row>
    <row r="58" spans="1:4" x14ac:dyDescent="0.2">
      <c r="A58">
        <v>57</v>
      </c>
      <c r="B58">
        <v>0</v>
      </c>
      <c r="C58">
        <f t="shared" si="0"/>
        <v>787</v>
      </c>
      <c r="D58" s="2">
        <f t="shared" si="1"/>
        <v>12.5</v>
      </c>
    </row>
    <row r="59" spans="1:4" x14ac:dyDescent="0.2">
      <c r="A59">
        <v>58</v>
      </c>
      <c r="B59">
        <v>0</v>
      </c>
      <c r="C59">
        <f t="shared" si="0"/>
        <v>788</v>
      </c>
      <c r="D59" s="2">
        <f t="shared" si="1"/>
        <v>12.5</v>
      </c>
    </row>
    <row r="60" spans="1:4" x14ac:dyDescent="0.2">
      <c r="A60">
        <v>59</v>
      </c>
      <c r="B60">
        <v>0</v>
      </c>
      <c r="C60">
        <f t="shared" si="0"/>
        <v>789</v>
      </c>
      <c r="D60" s="2">
        <f t="shared" si="1"/>
        <v>12.5</v>
      </c>
    </row>
    <row r="61" spans="1:4" x14ac:dyDescent="0.2">
      <c r="A61">
        <v>60</v>
      </c>
      <c r="B61">
        <v>0</v>
      </c>
      <c r="C61">
        <f t="shared" si="0"/>
        <v>790</v>
      </c>
      <c r="D61" s="2">
        <f t="shared" si="1"/>
        <v>12.5</v>
      </c>
    </row>
    <row r="62" spans="1:4" x14ac:dyDescent="0.2">
      <c r="A62">
        <v>61</v>
      </c>
      <c r="B62">
        <v>0</v>
      </c>
      <c r="C62">
        <f t="shared" si="0"/>
        <v>791</v>
      </c>
      <c r="D62" s="2">
        <f t="shared" si="1"/>
        <v>12.5</v>
      </c>
    </row>
    <row r="63" spans="1:4" x14ac:dyDescent="0.2">
      <c r="A63">
        <v>62</v>
      </c>
      <c r="B63">
        <v>0</v>
      </c>
      <c r="C63">
        <f t="shared" si="0"/>
        <v>792</v>
      </c>
      <c r="D63" s="2">
        <f t="shared" si="1"/>
        <v>12.5</v>
      </c>
    </row>
    <row r="64" spans="1:4" x14ac:dyDescent="0.2">
      <c r="A64">
        <v>63</v>
      </c>
      <c r="B64">
        <v>0</v>
      </c>
      <c r="C64">
        <f t="shared" si="0"/>
        <v>793</v>
      </c>
      <c r="D64" s="2">
        <f t="shared" si="1"/>
        <v>12.5</v>
      </c>
    </row>
    <row r="65" spans="1:4" x14ac:dyDescent="0.2">
      <c r="A65">
        <v>64</v>
      </c>
      <c r="B65">
        <v>0</v>
      </c>
      <c r="C65">
        <f t="shared" si="0"/>
        <v>794</v>
      </c>
      <c r="D65" s="2">
        <f t="shared" si="1"/>
        <v>12.5</v>
      </c>
    </row>
    <row r="66" spans="1:4" x14ac:dyDescent="0.2">
      <c r="A66">
        <v>65</v>
      </c>
      <c r="B66">
        <v>0</v>
      </c>
      <c r="C66">
        <f t="shared" si="0"/>
        <v>795</v>
      </c>
      <c r="D66" s="2">
        <f t="shared" si="1"/>
        <v>12.5</v>
      </c>
    </row>
    <row r="67" spans="1:4" x14ac:dyDescent="0.2">
      <c r="A67">
        <v>66</v>
      </c>
      <c r="B67">
        <v>0</v>
      </c>
      <c r="C67">
        <f t="shared" ref="C67:C130" si="5">A67+730</f>
        <v>796</v>
      </c>
      <c r="D67" s="2">
        <f t="shared" ref="D67:D130" si="6">$I$8</f>
        <v>12.5</v>
      </c>
    </row>
    <row r="68" spans="1:4" x14ac:dyDescent="0.2">
      <c r="A68">
        <v>67</v>
      </c>
      <c r="B68">
        <v>0</v>
      </c>
      <c r="C68">
        <f t="shared" si="5"/>
        <v>797</v>
      </c>
      <c r="D68" s="2">
        <f t="shared" si="6"/>
        <v>12.5</v>
      </c>
    </row>
    <row r="69" spans="1:4" x14ac:dyDescent="0.2">
      <c r="A69">
        <v>68</v>
      </c>
      <c r="B69">
        <v>0</v>
      </c>
      <c r="C69">
        <f t="shared" si="5"/>
        <v>798</v>
      </c>
      <c r="D69" s="2">
        <f t="shared" si="6"/>
        <v>12.5</v>
      </c>
    </row>
    <row r="70" spans="1:4" x14ac:dyDescent="0.2">
      <c r="A70">
        <v>69</v>
      </c>
      <c r="B70">
        <v>0</v>
      </c>
      <c r="C70">
        <f t="shared" si="5"/>
        <v>799</v>
      </c>
      <c r="D70" s="2">
        <f t="shared" si="6"/>
        <v>12.5</v>
      </c>
    </row>
    <row r="71" spans="1:4" x14ac:dyDescent="0.2">
      <c r="A71">
        <v>70</v>
      </c>
      <c r="B71">
        <v>0</v>
      </c>
      <c r="C71">
        <f t="shared" si="5"/>
        <v>800</v>
      </c>
      <c r="D71" s="2">
        <f t="shared" si="6"/>
        <v>12.5</v>
      </c>
    </row>
    <row r="72" spans="1:4" x14ac:dyDescent="0.2">
      <c r="A72">
        <v>71</v>
      </c>
      <c r="B72">
        <v>0</v>
      </c>
      <c r="C72">
        <f t="shared" si="5"/>
        <v>801</v>
      </c>
      <c r="D72" s="2">
        <f t="shared" si="6"/>
        <v>12.5</v>
      </c>
    </row>
    <row r="73" spans="1:4" x14ac:dyDescent="0.2">
      <c r="A73">
        <v>72</v>
      </c>
      <c r="B73">
        <v>0</v>
      </c>
      <c r="C73">
        <f t="shared" si="5"/>
        <v>802</v>
      </c>
      <c r="D73" s="2">
        <f t="shared" si="6"/>
        <v>12.5</v>
      </c>
    </row>
    <row r="74" spans="1:4" x14ac:dyDescent="0.2">
      <c r="A74">
        <v>73</v>
      </c>
      <c r="B74">
        <v>0</v>
      </c>
      <c r="C74">
        <f t="shared" si="5"/>
        <v>803</v>
      </c>
      <c r="D74" s="2">
        <f t="shared" si="6"/>
        <v>12.5</v>
      </c>
    </row>
    <row r="75" spans="1:4" x14ac:dyDescent="0.2">
      <c r="A75">
        <v>74</v>
      </c>
      <c r="B75">
        <v>0</v>
      </c>
      <c r="C75">
        <f t="shared" si="5"/>
        <v>804</v>
      </c>
      <c r="D75" s="2">
        <f t="shared" si="6"/>
        <v>12.5</v>
      </c>
    </row>
    <row r="76" spans="1:4" x14ac:dyDescent="0.2">
      <c r="A76">
        <v>75</v>
      </c>
      <c r="B76">
        <v>0</v>
      </c>
      <c r="C76">
        <f t="shared" si="5"/>
        <v>805</v>
      </c>
      <c r="D76" s="2">
        <f t="shared" si="6"/>
        <v>12.5</v>
      </c>
    </row>
    <row r="77" spans="1:4" x14ac:dyDescent="0.2">
      <c r="A77">
        <v>76</v>
      </c>
      <c r="B77">
        <v>0</v>
      </c>
      <c r="C77">
        <f t="shared" si="5"/>
        <v>806</v>
      </c>
      <c r="D77" s="2">
        <f t="shared" si="6"/>
        <v>12.5</v>
      </c>
    </row>
    <row r="78" spans="1:4" x14ac:dyDescent="0.2">
      <c r="A78">
        <v>77</v>
      </c>
      <c r="B78">
        <v>0</v>
      </c>
      <c r="C78">
        <f t="shared" si="5"/>
        <v>807</v>
      </c>
      <c r="D78" s="2">
        <f t="shared" si="6"/>
        <v>12.5</v>
      </c>
    </row>
    <row r="79" spans="1:4" x14ac:dyDescent="0.2">
      <c r="A79">
        <v>78</v>
      </c>
      <c r="B79">
        <v>0</v>
      </c>
      <c r="C79">
        <f t="shared" si="5"/>
        <v>808</v>
      </c>
      <c r="D79" s="2">
        <f t="shared" si="6"/>
        <v>12.5</v>
      </c>
    </row>
    <row r="80" spans="1:4" x14ac:dyDescent="0.2">
      <c r="A80">
        <v>79</v>
      </c>
      <c r="B80">
        <v>0</v>
      </c>
      <c r="C80">
        <f t="shared" si="5"/>
        <v>809</v>
      </c>
      <c r="D80" s="2">
        <f t="shared" si="6"/>
        <v>12.5</v>
      </c>
    </row>
    <row r="81" spans="1:4" x14ac:dyDescent="0.2">
      <c r="A81">
        <v>80</v>
      </c>
      <c r="B81">
        <v>0</v>
      </c>
      <c r="C81">
        <f t="shared" si="5"/>
        <v>810</v>
      </c>
      <c r="D81" s="2">
        <f t="shared" si="6"/>
        <v>12.5</v>
      </c>
    </row>
    <row r="82" spans="1:4" x14ac:dyDescent="0.2">
      <c r="A82">
        <v>81</v>
      </c>
      <c r="B82">
        <v>0</v>
      </c>
      <c r="C82">
        <f t="shared" si="5"/>
        <v>811</v>
      </c>
      <c r="D82" s="2">
        <f t="shared" si="6"/>
        <v>12.5</v>
      </c>
    </row>
    <row r="83" spans="1:4" x14ac:dyDescent="0.2">
      <c r="A83">
        <v>82</v>
      </c>
      <c r="B83">
        <v>0</v>
      </c>
      <c r="C83">
        <f t="shared" si="5"/>
        <v>812</v>
      </c>
      <c r="D83" s="2">
        <f t="shared" si="6"/>
        <v>12.5</v>
      </c>
    </row>
    <row r="84" spans="1:4" x14ac:dyDescent="0.2">
      <c r="A84">
        <v>83</v>
      </c>
      <c r="B84">
        <v>0</v>
      </c>
      <c r="C84">
        <f t="shared" si="5"/>
        <v>813</v>
      </c>
      <c r="D84" s="2">
        <f t="shared" si="6"/>
        <v>12.5</v>
      </c>
    </row>
    <row r="85" spans="1:4" x14ac:dyDescent="0.2">
      <c r="A85">
        <v>84</v>
      </c>
      <c r="B85">
        <v>0</v>
      </c>
      <c r="C85">
        <f t="shared" si="5"/>
        <v>814</v>
      </c>
      <c r="D85" s="2">
        <f t="shared" si="6"/>
        <v>12.5</v>
      </c>
    </row>
    <row r="86" spans="1:4" x14ac:dyDescent="0.2">
      <c r="A86">
        <v>85</v>
      </c>
      <c r="B86">
        <v>0</v>
      </c>
      <c r="C86">
        <f t="shared" si="5"/>
        <v>815</v>
      </c>
      <c r="D86" s="2">
        <f t="shared" si="6"/>
        <v>12.5</v>
      </c>
    </row>
    <row r="87" spans="1:4" x14ac:dyDescent="0.2">
      <c r="A87">
        <v>86</v>
      </c>
      <c r="B87">
        <v>0</v>
      </c>
      <c r="C87">
        <f t="shared" si="5"/>
        <v>816</v>
      </c>
      <c r="D87" s="2">
        <f t="shared" si="6"/>
        <v>12.5</v>
      </c>
    </row>
    <row r="88" spans="1:4" x14ac:dyDescent="0.2">
      <c r="A88">
        <v>87</v>
      </c>
      <c r="B88">
        <v>0</v>
      </c>
      <c r="C88">
        <f t="shared" si="5"/>
        <v>817</v>
      </c>
      <c r="D88" s="2">
        <f t="shared" si="6"/>
        <v>12.5</v>
      </c>
    </row>
    <row r="89" spans="1:4" x14ac:dyDescent="0.2">
      <c r="A89">
        <v>88</v>
      </c>
      <c r="B89">
        <v>0</v>
      </c>
      <c r="C89">
        <f t="shared" si="5"/>
        <v>818</v>
      </c>
      <c r="D89" s="2">
        <f t="shared" si="6"/>
        <v>12.5</v>
      </c>
    </row>
    <row r="90" spans="1:4" x14ac:dyDescent="0.2">
      <c r="A90">
        <v>89</v>
      </c>
      <c r="B90">
        <v>0</v>
      </c>
      <c r="C90">
        <f t="shared" si="5"/>
        <v>819</v>
      </c>
      <c r="D90" s="2">
        <f t="shared" si="6"/>
        <v>12.5</v>
      </c>
    </row>
    <row r="91" spans="1:4" x14ac:dyDescent="0.2">
      <c r="A91">
        <v>90</v>
      </c>
      <c r="B91">
        <v>0</v>
      </c>
      <c r="C91">
        <f t="shared" si="5"/>
        <v>820</v>
      </c>
      <c r="D91" s="2">
        <f t="shared" si="6"/>
        <v>12.5</v>
      </c>
    </row>
    <row r="92" spans="1:4" x14ac:dyDescent="0.2">
      <c r="A92">
        <v>91</v>
      </c>
      <c r="B92">
        <v>0</v>
      </c>
      <c r="C92">
        <f t="shared" si="5"/>
        <v>821</v>
      </c>
      <c r="D92" s="2">
        <f t="shared" si="6"/>
        <v>12.5</v>
      </c>
    </row>
    <row r="93" spans="1:4" x14ac:dyDescent="0.2">
      <c r="A93">
        <v>92</v>
      </c>
      <c r="B93">
        <v>0</v>
      </c>
      <c r="C93">
        <f t="shared" si="5"/>
        <v>822</v>
      </c>
      <c r="D93" s="2">
        <f t="shared" si="6"/>
        <v>12.5</v>
      </c>
    </row>
    <row r="94" spans="1:4" x14ac:dyDescent="0.2">
      <c r="A94">
        <v>93</v>
      </c>
      <c r="B94">
        <v>0</v>
      </c>
      <c r="C94">
        <f t="shared" si="5"/>
        <v>823</v>
      </c>
      <c r="D94" s="2">
        <f t="shared" si="6"/>
        <v>12.5</v>
      </c>
    </row>
    <row r="95" spans="1:4" x14ac:dyDescent="0.2">
      <c r="A95">
        <v>94</v>
      </c>
      <c r="B95">
        <v>0</v>
      </c>
      <c r="C95">
        <f t="shared" si="5"/>
        <v>824</v>
      </c>
      <c r="D95" s="2">
        <f t="shared" si="6"/>
        <v>12.5</v>
      </c>
    </row>
    <row r="96" spans="1:4" x14ac:dyDescent="0.2">
      <c r="A96">
        <v>95</v>
      </c>
      <c r="B96">
        <v>0</v>
      </c>
      <c r="C96">
        <f t="shared" si="5"/>
        <v>825</v>
      </c>
      <c r="D96" s="2">
        <f t="shared" si="6"/>
        <v>12.5</v>
      </c>
    </row>
    <row r="97" spans="1:4" x14ac:dyDescent="0.2">
      <c r="A97">
        <v>96</v>
      </c>
      <c r="B97">
        <v>0</v>
      </c>
      <c r="C97">
        <f t="shared" si="5"/>
        <v>826</v>
      </c>
      <c r="D97" s="2">
        <f t="shared" si="6"/>
        <v>12.5</v>
      </c>
    </row>
    <row r="98" spans="1:4" x14ac:dyDescent="0.2">
      <c r="A98">
        <v>97</v>
      </c>
      <c r="B98">
        <v>0</v>
      </c>
      <c r="C98">
        <f t="shared" si="5"/>
        <v>827</v>
      </c>
      <c r="D98" s="2">
        <f t="shared" si="6"/>
        <v>12.5</v>
      </c>
    </row>
    <row r="99" spans="1:4" x14ac:dyDescent="0.2">
      <c r="A99">
        <v>98</v>
      </c>
      <c r="B99">
        <v>0</v>
      </c>
      <c r="C99">
        <f t="shared" si="5"/>
        <v>828</v>
      </c>
      <c r="D99" s="2">
        <f t="shared" si="6"/>
        <v>12.5</v>
      </c>
    </row>
    <row r="100" spans="1:4" x14ac:dyDescent="0.2">
      <c r="A100">
        <v>99</v>
      </c>
      <c r="B100">
        <v>0</v>
      </c>
      <c r="C100">
        <f t="shared" si="5"/>
        <v>829</v>
      </c>
      <c r="D100" s="2">
        <f t="shared" si="6"/>
        <v>12.5</v>
      </c>
    </row>
    <row r="101" spans="1:4" x14ac:dyDescent="0.2">
      <c r="A101">
        <v>100</v>
      </c>
      <c r="B101">
        <v>0</v>
      </c>
      <c r="C101">
        <f t="shared" si="5"/>
        <v>830</v>
      </c>
      <c r="D101" s="2">
        <f t="shared" si="6"/>
        <v>12.5</v>
      </c>
    </row>
    <row r="102" spans="1:4" x14ac:dyDescent="0.2">
      <c r="A102">
        <v>101</v>
      </c>
      <c r="B102">
        <v>0</v>
      </c>
      <c r="C102">
        <f t="shared" si="5"/>
        <v>831</v>
      </c>
      <c r="D102" s="2">
        <f t="shared" si="6"/>
        <v>12.5</v>
      </c>
    </row>
    <row r="103" spans="1:4" x14ac:dyDescent="0.2">
      <c r="A103">
        <v>102</v>
      </c>
      <c r="B103">
        <v>0</v>
      </c>
      <c r="C103">
        <f t="shared" si="5"/>
        <v>832</v>
      </c>
      <c r="D103" s="2">
        <f t="shared" si="6"/>
        <v>12.5</v>
      </c>
    </row>
    <row r="104" spans="1:4" x14ac:dyDescent="0.2">
      <c r="A104">
        <v>103</v>
      </c>
      <c r="B104">
        <v>0</v>
      </c>
      <c r="C104">
        <f t="shared" si="5"/>
        <v>833</v>
      </c>
      <c r="D104" s="2">
        <f t="shared" si="6"/>
        <v>12.5</v>
      </c>
    </row>
    <row r="105" spans="1:4" x14ac:dyDescent="0.2">
      <c r="A105">
        <v>104</v>
      </c>
      <c r="B105">
        <v>0</v>
      </c>
      <c r="C105">
        <f t="shared" si="5"/>
        <v>834</v>
      </c>
      <c r="D105" s="2">
        <f t="shared" si="6"/>
        <v>12.5</v>
      </c>
    </row>
    <row r="106" spans="1:4" x14ac:dyDescent="0.2">
      <c r="A106">
        <v>105</v>
      </c>
      <c r="B106">
        <v>0</v>
      </c>
      <c r="C106">
        <f t="shared" si="5"/>
        <v>835</v>
      </c>
      <c r="D106" s="2">
        <f t="shared" si="6"/>
        <v>12.5</v>
      </c>
    </row>
    <row r="107" spans="1:4" x14ac:dyDescent="0.2">
      <c r="A107">
        <v>106</v>
      </c>
      <c r="B107">
        <v>0</v>
      </c>
      <c r="C107">
        <f t="shared" si="5"/>
        <v>836</v>
      </c>
      <c r="D107" s="2">
        <f t="shared" si="6"/>
        <v>12.5</v>
      </c>
    </row>
    <row r="108" spans="1:4" x14ac:dyDescent="0.2">
      <c r="A108">
        <v>107</v>
      </c>
      <c r="B108">
        <v>0</v>
      </c>
      <c r="C108">
        <f t="shared" si="5"/>
        <v>837</v>
      </c>
      <c r="D108" s="2">
        <f t="shared" si="6"/>
        <v>12.5</v>
      </c>
    </row>
    <row r="109" spans="1:4" x14ac:dyDescent="0.2">
      <c r="A109">
        <v>108</v>
      </c>
      <c r="B109">
        <v>0</v>
      </c>
      <c r="C109">
        <f t="shared" si="5"/>
        <v>838</v>
      </c>
      <c r="D109" s="2">
        <f t="shared" si="6"/>
        <v>12.5</v>
      </c>
    </row>
    <row r="110" spans="1:4" x14ac:dyDescent="0.2">
      <c r="A110">
        <v>109</v>
      </c>
      <c r="B110">
        <v>0</v>
      </c>
      <c r="C110">
        <f t="shared" si="5"/>
        <v>839</v>
      </c>
      <c r="D110" s="2">
        <f t="shared" si="6"/>
        <v>12.5</v>
      </c>
    </row>
    <row r="111" spans="1:4" x14ac:dyDescent="0.2">
      <c r="A111">
        <v>110</v>
      </c>
      <c r="B111">
        <v>0</v>
      </c>
      <c r="C111">
        <f t="shared" si="5"/>
        <v>840</v>
      </c>
      <c r="D111" s="2">
        <f t="shared" si="6"/>
        <v>12.5</v>
      </c>
    </row>
    <row r="112" spans="1:4" x14ac:dyDescent="0.2">
      <c r="A112">
        <v>111</v>
      </c>
      <c r="B112">
        <v>0</v>
      </c>
      <c r="C112">
        <f t="shared" si="5"/>
        <v>841</v>
      </c>
      <c r="D112" s="2">
        <f t="shared" si="6"/>
        <v>12.5</v>
      </c>
    </row>
    <row r="113" spans="1:4" x14ac:dyDescent="0.2">
      <c r="A113">
        <v>112</v>
      </c>
      <c r="B113">
        <v>0</v>
      </c>
      <c r="C113">
        <f t="shared" si="5"/>
        <v>842</v>
      </c>
      <c r="D113" s="2">
        <f t="shared" si="6"/>
        <v>12.5</v>
      </c>
    </row>
    <row r="114" spans="1:4" x14ac:dyDescent="0.2">
      <c r="A114">
        <v>113</v>
      </c>
      <c r="B114">
        <v>0</v>
      </c>
      <c r="C114">
        <f t="shared" si="5"/>
        <v>843</v>
      </c>
      <c r="D114" s="2">
        <f t="shared" si="6"/>
        <v>12.5</v>
      </c>
    </row>
    <row r="115" spans="1:4" x14ac:dyDescent="0.2">
      <c r="A115">
        <v>114</v>
      </c>
      <c r="B115">
        <v>0</v>
      </c>
      <c r="C115">
        <f t="shared" si="5"/>
        <v>844</v>
      </c>
      <c r="D115" s="2">
        <f t="shared" si="6"/>
        <v>12.5</v>
      </c>
    </row>
    <row r="116" spans="1:4" x14ac:dyDescent="0.2">
      <c r="A116">
        <v>115</v>
      </c>
      <c r="B116">
        <v>0</v>
      </c>
      <c r="C116">
        <f t="shared" si="5"/>
        <v>845</v>
      </c>
      <c r="D116" s="2">
        <f t="shared" si="6"/>
        <v>12.5</v>
      </c>
    </row>
    <row r="117" spans="1:4" x14ac:dyDescent="0.2">
      <c r="A117">
        <v>116</v>
      </c>
      <c r="B117">
        <v>0</v>
      </c>
      <c r="C117">
        <f t="shared" si="5"/>
        <v>846</v>
      </c>
      <c r="D117" s="2">
        <f t="shared" si="6"/>
        <v>12.5</v>
      </c>
    </row>
    <row r="118" spans="1:4" x14ac:dyDescent="0.2">
      <c r="A118">
        <v>117</v>
      </c>
      <c r="B118">
        <v>0</v>
      </c>
      <c r="C118">
        <f t="shared" si="5"/>
        <v>847</v>
      </c>
      <c r="D118" s="2">
        <f t="shared" si="6"/>
        <v>12.5</v>
      </c>
    </row>
    <row r="119" spans="1:4" x14ac:dyDescent="0.2">
      <c r="A119">
        <v>118</v>
      </c>
      <c r="B119">
        <v>0</v>
      </c>
      <c r="C119">
        <f t="shared" si="5"/>
        <v>848</v>
      </c>
      <c r="D119" s="2">
        <f t="shared" si="6"/>
        <v>12.5</v>
      </c>
    </row>
    <row r="120" spans="1:4" x14ac:dyDescent="0.2">
      <c r="A120">
        <v>119</v>
      </c>
      <c r="B120">
        <v>0</v>
      </c>
      <c r="C120">
        <f t="shared" si="5"/>
        <v>849</v>
      </c>
      <c r="D120" s="2">
        <f t="shared" si="6"/>
        <v>12.5</v>
      </c>
    </row>
    <row r="121" spans="1:4" x14ac:dyDescent="0.2">
      <c r="A121">
        <v>120</v>
      </c>
      <c r="B121">
        <v>0</v>
      </c>
      <c r="C121">
        <f t="shared" si="5"/>
        <v>850</v>
      </c>
      <c r="D121" s="2">
        <f t="shared" si="6"/>
        <v>12.5</v>
      </c>
    </row>
    <row r="122" spans="1:4" x14ac:dyDescent="0.2">
      <c r="A122">
        <v>121</v>
      </c>
      <c r="B122">
        <v>0</v>
      </c>
      <c r="C122">
        <f t="shared" si="5"/>
        <v>851</v>
      </c>
      <c r="D122" s="2">
        <f t="shared" si="6"/>
        <v>12.5</v>
      </c>
    </row>
    <row r="123" spans="1:4" x14ac:dyDescent="0.2">
      <c r="A123">
        <v>122</v>
      </c>
      <c r="B123">
        <v>0</v>
      </c>
      <c r="C123">
        <f t="shared" si="5"/>
        <v>852</v>
      </c>
      <c r="D123" s="2">
        <f t="shared" si="6"/>
        <v>12.5</v>
      </c>
    </row>
    <row r="124" spans="1:4" x14ac:dyDescent="0.2">
      <c r="A124">
        <v>123</v>
      </c>
      <c r="B124">
        <v>0</v>
      </c>
      <c r="C124">
        <f t="shared" si="5"/>
        <v>853</v>
      </c>
      <c r="D124" s="2">
        <f t="shared" si="6"/>
        <v>12.5</v>
      </c>
    </row>
    <row r="125" spans="1:4" x14ac:dyDescent="0.2">
      <c r="A125">
        <v>124</v>
      </c>
      <c r="B125">
        <v>0</v>
      </c>
      <c r="C125">
        <f t="shared" si="5"/>
        <v>854</v>
      </c>
      <c r="D125" s="2">
        <f t="shared" si="6"/>
        <v>12.5</v>
      </c>
    </row>
    <row r="126" spans="1:4" x14ac:dyDescent="0.2">
      <c r="A126">
        <v>125</v>
      </c>
      <c r="B126">
        <v>0</v>
      </c>
      <c r="C126">
        <f t="shared" si="5"/>
        <v>855</v>
      </c>
      <c r="D126" s="2">
        <f t="shared" si="6"/>
        <v>12.5</v>
      </c>
    </row>
    <row r="127" spans="1:4" x14ac:dyDescent="0.2">
      <c r="A127">
        <v>126</v>
      </c>
      <c r="B127">
        <v>0</v>
      </c>
      <c r="C127">
        <f t="shared" si="5"/>
        <v>856</v>
      </c>
      <c r="D127" s="2">
        <f t="shared" si="6"/>
        <v>12.5</v>
      </c>
    </row>
    <row r="128" spans="1:4" x14ac:dyDescent="0.2">
      <c r="A128">
        <v>127</v>
      </c>
      <c r="B128">
        <v>0</v>
      </c>
      <c r="C128">
        <f t="shared" si="5"/>
        <v>857</v>
      </c>
      <c r="D128" s="2">
        <f t="shared" si="6"/>
        <v>12.5</v>
      </c>
    </row>
    <row r="129" spans="1:4" x14ac:dyDescent="0.2">
      <c r="A129">
        <v>128</v>
      </c>
      <c r="B129">
        <v>0</v>
      </c>
      <c r="C129">
        <f t="shared" si="5"/>
        <v>858</v>
      </c>
      <c r="D129" s="2">
        <f t="shared" si="6"/>
        <v>12.5</v>
      </c>
    </row>
    <row r="130" spans="1:4" x14ac:dyDescent="0.2">
      <c r="A130">
        <v>129</v>
      </c>
      <c r="B130">
        <v>0</v>
      </c>
      <c r="C130">
        <f t="shared" si="5"/>
        <v>859</v>
      </c>
      <c r="D130" s="2">
        <f t="shared" si="6"/>
        <v>12.5</v>
      </c>
    </row>
    <row r="131" spans="1:4" x14ac:dyDescent="0.2">
      <c r="A131">
        <v>130</v>
      </c>
      <c r="B131">
        <v>0</v>
      </c>
      <c r="C131">
        <f t="shared" ref="C131:C194" si="7">A131+730</f>
        <v>860</v>
      </c>
      <c r="D131" s="2">
        <f t="shared" ref="D131:D194" si="8">$I$8</f>
        <v>12.5</v>
      </c>
    </row>
    <row r="132" spans="1:4" x14ac:dyDescent="0.2">
      <c r="A132">
        <v>131</v>
      </c>
      <c r="B132">
        <v>0</v>
      </c>
      <c r="C132">
        <f t="shared" si="7"/>
        <v>861</v>
      </c>
      <c r="D132" s="2">
        <f t="shared" si="8"/>
        <v>12.5</v>
      </c>
    </row>
    <row r="133" spans="1:4" x14ac:dyDescent="0.2">
      <c r="A133">
        <v>132</v>
      </c>
      <c r="B133">
        <v>0</v>
      </c>
      <c r="C133">
        <f t="shared" si="7"/>
        <v>862</v>
      </c>
      <c r="D133" s="2">
        <f t="shared" si="8"/>
        <v>12.5</v>
      </c>
    </row>
    <row r="134" spans="1:4" x14ac:dyDescent="0.2">
      <c r="A134">
        <v>133</v>
      </c>
      <c r="B134">
        <v>0</v>
      </c>
      <c r="C134">
        <f t="shared" si="7"/>
        <v>863</v>
      </c>
      <c r="D134" s="2">
        <f t="shared" si="8"/>
        <v>12.5</v>
      </c>
    </row>
    <row r="135" spans="1:4" x14ac:dyDescent="0.2">
      <c r="A135">
        <v>134</v>
      </c>
      <c r="B135">
        <v>0</v>
      </c>
      <c r="C135">
        <f t="shared" si="7"/>
        <v>864</v>
      </c>
      <c r="D135" s="2">
        <f t="shared" si="8"/>
        <v>12.5</v>
      </c>
    </row>
    <row r="136" spans="1:4" x14ac:dyDescent="0.2">
      <c r="A136">
        <v>135</v>
      </c>
      <c r="B136">
        <v>0</v>
      </c>
      <c r="C136">
        <f t="shared" si="7"/>
        <v>865</v>
      </c>
      <c r="D136" s="2">
        <f t="shared" si="8"/>
        <v>12.5</v>
      </c>
    </row>
    <row r="137" spans="1:4" x14ac:dyDescent="0.2">
      <c r="A137">
        <v>136</v>
      </c>
      <c r="B137">
        <v>0</v>
      </c>
      <c r="C137">
        <f t="shared" si="7"/>
        <v>866</v>
      </c>
      <c r="D137" s="2">
        <f t="shared" si="8"/>
        <v>12.5</v>
      </c>
    </row>
    <row r="138" spans="1:4" x14ac:dyDescent="0.2">
      <c r="A138">
        <v>137</v>
      </c>
      <c r="B138">
        <v>0</v>
      </c>
      <c r="C138">
        <f t="shared" si="7"/>
        <v>867</v>
      </c>
      <c r="D138" s="2">
        <f t="shared" si="8"/>
        <v>12.5</v>
      </c>
    </row>
    <row r="139" spans="1:4" x14ac:dyDescent="0.2">
      <c r="A139">
        <v>138</v>
      </c>
      <c r="B139">
        <v>0</v>
      </c>
      <c r="C139">
        <f t="shared" si="7"/>
        <v>868</v>
      </c>
      <c r="D139" s="2">
        <f t="shared" si="8"/>
        <v>12.5</v>
      </c>
    </row>
    <row r="140" spans="1:4" x14ac:dyDescent="0.2">
      <c r="A140">
        <v>139</v>
      </c>
      <c r="B140">
        <v>0</v>
      </c>
      <c r="C140">
        <f t="shared" si="7"/>
        <v>869</v>
      </c>
      <c r="D140" s="2">
        <f t="shared" si="8"/>
        <v>12.5</v>
      </c>
    </row>
    <row r="141" spans="1:4" x14ac:dyDescent="0.2">
      <c r="A141">
        <v>140</v>
      </c>
      <c r="B141">
        <v>0</v>
      </c>
      <c r="C141">
        <f t="shared" si="7"/>
        <v>870</v>
      </c>
      <c r="D141" s="2">
        <f t="shared" si="8"/>
        <v>12.5</v>
      </c>
    </row>
    <row r="142" spans="1:4" x14ac:dyDescent="0.2">
      <c r="A142">
        <v>141</v>
      </c>
      <c r="B142">
        <v>0</v>
      </c>
      <c r="C142">
        <f t="shared" si="7"/>
        <v>871</v>
      </c>
      <c r="D142" s="2">
        <f t="shared" si="8"/>
        <v>12.5</v>
      </c>
    </row>
    <row r="143" spans="1:4" x14ac:dyDescent="0.2">
      <c r="A143">
        <v>142</v>
      </c>
      <c r="B143">
        <v>0</v>
      </c>
      <c r="C143">
        <f t="shared" si="7"/>
        <v>872</v>
      </c>
      <c r="D143" s="2">
        <f t="shared" si="8"/>
        <v>12.5</v>
      </c>
    </row>
    <row r="144" spans="1:4" x14ac:dyDescent="0.2">
      <c r="A144">
        <v>143</v>
      </c>
      <c r="B144">
        <v>0</v>
      </c>
      <c r="C144">
        <f t="shared" si="7"/>
        <v>873</v>
      </c>
      <c r="D144" s="2">
        <f t="shared" si="8"/>
        <v>12.5</v>
      </c>
    </row>
    <row r="145" spans="1:4" x14ac:dyDescent="0.2">
      <c r="A145">
        <v>144</v>
      </c>
      <c r="B145">
        <v>0</v>
      </c>
      <c r="C145">
        <f t="shared" si="7"/>
        <v>874</v>
      </c>
      <c r="D145" s="2">
        <f t="shared" si="8"/>
        <v>12.5</v>
      </c>
    </row>
    <row r="146" spans="1:4" x14ac:dyDescent="0.2">
      <c r="A146">
        <v>145</v>
      </c>
      <c r="B146">
        <v>0</v>
      </c>
      <c r="C146">
        <f t="shared" si="7"/>
        <v>875</v>
      </c>
      <c r="D146" s="2">
        <f t="shared" si="8"/>
        <v>12.5</v>
      </c>
    </row>
    <row r="147" spans="1:4" x14ac:dyDescent="0.2">
      <c r="A147">
        <v>146</v>
      </c>
      <c r="B147">
        <v>0</v>
      </c>
      <c r="C147">
        <f t="shared" si="7"/>
        <v>876</v>
      </c>
      <c r="D147" s="2">
        <f t="shared" si="8"/>
        <v>12.5</v>
      </c>
    </row>
    <row r="148" spans="1:4" x14ac:dyDescent="0.2">
      <c r="A148">
        <v>147</v>
      </c>
      <c r="B148">
        <v>0</v>
      </c>
      <c r="C148">
        <f t="shared" si="7"/>
        <v>877</v>
      </c>
      <c r="D148" s="2">
        <f t="shared" si="8"/>
        <v>12.5</v>
      </c>
    </row>
    <row r="149" spans="1:4" x14ac:dyDescent="0.2">
      <c r="A149">
        <v>148</v>
      </c>
      <c r="B149">
        <v>0</v>
      </c>
      <c r="C149">
        <f t="shared" si="7"/>
        <v>878</v>
      </c>
      <c r="D149" s="2">
        <f t="shared" si="8"/>
        <v>12.5</v>
      </c>
    </row>
    <row r="150" spans="1:4" x14ac:dyDescent="0.2">
      <c r="A150">
        <v>149</v>
      </c>
      <c r="B150">
        <v>0</v>
      </c>
      <c r="C150">
        <f t="shared" si="7"/>
        <v>879</v>
      </c>
      <c r="D150" s="2">
        <f t="shared" si="8"/>
        <v>12.5</v>
      </c>
    </row>
    <row r="151" spans="1:4" x14ac:dyDescent="0.2">
      <c r="A151">
        <v>150</v>
      </c>
      <c r="B151">
        <v>0</v>
      </c>
      <c r="C151">
        <f t="shared" si="7"/>
        <v>880</v>
      </c>
      <c r="D151" s="2">
        <f t="shared" si="8"/>
        <v>12.5</v>
      </c>
    </row>
    <row r="152" spans="1:4" x14ac:dyDescent="0.2">
      <c r="A152">
        <v>151</v>
      </c>
      <c r="B152">
        <v>0</v>
      </c>
      <c r="C152">
        <f t="shared" si="7"/>
        <v>881</v>
      </c>
      <c r="D152" s="2">
        <f t="shared" si="8"/>
        <v>12.5</v>
      </c>
    </row>
    <row r="153" spans="1:4" x14ac:dyDescent="0.2">
      <c r="A153">
        <v>152</v>
      </c>
      <c r="B153">
        <v>0</v>
      </c>
      <c r="C153">
        <f t="shared" si="7"/>
        <v>882</v>
      </c>
      <c r="D153" s="2">
        <f t="shared" si="8"/>
        <v>12.5</v>
      </c>
    </row>
    <row r="154" spans="1:4" x14ac:dyDescent="0.2">
      <c r="A154">
        <v>153</v>
      </c>
      <c r="B154">
        <v>0</v>
      </c>
      <c r="C154">
        <f t="shared" si="7"/>
        <v>883</v>
      </c>
      <c r="D154" s="2">
        <f t="shared" si="8"/>
        <v>12.5</v>
      </c>
    </row>
    <row r="155" spans="1:4" x14ac:dyDescent="0.2">
      <c r="A155">
        <v>154</v>
      </c>
      <c r="B155">
        <v>0</v>
      </c>
      <c r="C155">
        <f t="shared" si="7"/>
        <v>884</v>
      </c>
      <c r="D155" s="2">
        <f t="shared" si="8"/>
        <v>12.5</v>
      </c>
    </row>
    <row r="156" spans="1:4" x14ac:dyDescent="0.2">
      <c r="A156">
        <v>155</v>
      </c>
      <c r="B156">
        <v>0</v>
      </c>
      <c r="C156">
        <f t="shared" si="7"/>
        <v>885</v>
      </c>
      <c r="D156" s="2">
        <f t="shared" si="8"/>
        <v>12.5</v>
      </c>
    </row>
    <row r="157" spans="1:4" x14ac:dyDescent="0.2">
      <c r="A157">
        <v>156</v>
      </c>
      <c r="B157">
        <v>0</v>
      </c>
      <c r="C157">
        <f t="shared" si="7"/>
        <v>886</v>
      </c>
      <c r="D157" s="2">
        <f t="shared" si="8"/>
        <v>12.5</v>
      </c>
    </row>
    <row r="158" spans="1:4" x14ac:dyDescent="0.2">
      <c r="A158">
        <v>157</v>
      </c>
      <c r="B158">
        <v>0</v>
      </c>
      <c r="C158">
        <f t="shared" si="7"/>
        <v>887</v>
      </c>
      <c r="D158" s="2">
        <f t="shared" si="8"/>
        <v>12.5</v>
      </c>
    </row>
    <row r="159" spans="1:4" x14ac:dyDescent="0.2">
      <c r="A159">
        <v>158</v>
      </c>
      <c r="B159">
        <v>0</v>
      </c>
      <c r="C159">
        <f t="shared" si="7"/>
        <v>888</v>
      </c>
      <c r="D159" s="2">
        <f t="shared" si="8"/>
        <v>12.5</v>
      </c>
    </row>
    <row r="160" spans="1:4" x14ac:dyDescent="0.2">
      <c r="A160">
        <v>159</v>
      </c>
      <c r="B160">
        <v>0</v>
      </c>
      <c r="C160">
        <f t="shared" si="7"/>
        <v>889</v>
      </c>
      <c r="D160" s="2">
        <f t="shared" si="8"/>
        <v>12.5</v>
      </c>
    </row>
    <row r="161" spans="1:4" x14ac:dyDescent="0.2">
      <c r="A161">
        <v>160</v>
      </c>
      <c r="B161">
        <v>0</v>
      </c>
      <c r="C161">
        <f t="shared" si="7"/>
        <v>890</v>
      </c>
      <c r="D161" s="2">
        <f t="shared" si="8"/>
        <v>12.5</v>
      </c>
    </row>
    <row r="162" spans="1:4" x14ac:dyDescent="0.2">
      <c r="A162">
        <v>161</v>
      </c>
      <c r="B162">
        <v>0</v>
      </c>
      <c r="C162">
        <f t="shared" si="7"/>
        <v>891</v>
      </c>
      <c r="D162" s="2">
        <f t="shared" si="8"/>
        <v>12.5</v>
      </c>
    </row>
    <row r="163" spans="1:4" x14ac:dyDescent="0.2">
      <c r="A163">
        <v>162</v>
      </c>
      <c r="B163">
        <v>0</v>
      </c>
      <c r="C163">
        <f t="shared" si="7"/>
        <v>892</v>
      </c>
      <c r="D163" s="2">
        <f t="shared" si="8"/>
        <v>12.5</v>
      </c>
    </row>
    <row r="164" spans="1:4" x14ac:dyDescent="0.2">
      <c r="A164">
        <v>163</v>
      </c>
      <c r="B164">
        <v>0</v>
      </c>
      <c r="C164">
        <f t="shared" si="7"/>
        <v>893</v>
      </c>
      <c r="D164" s="2">
        <f t="shared" si="8"/>
        <v>12.5</v>
      </c>
    </row>
    <row r="165" spans="1:4" x14ac:dyDescent="0.2">
      <c r="A165">
        <v>164</v>
      </c>
      <c r="B165">
        <v>0</v>
      </c>
      <c r="C165">
        <f t="shared" si="7"/>
        <v>894</v>
      </c>
      <c r="D165" s="2">
        <f t="shared" si="8"/>
        <v>12.5</v>
      </c>
    </row>
    <row r="166" spans="1:4" x14ac:dyDescent="0.2">
      <c r="A166">
        <v>165</v>
      </c>
      <c r="B166">
        <v>0</v>
      </c>
      <c r="C166">
        <f t="shared" si="7"/>
        <v>895</v>
      </c>
      <c r="D166" s="2">
        <f t="shared" si="8"/>
        <v>12.5</v>
      </c>
    </row>
    <row r="167" spans="1:4" x14ac:dyDescent="0.2">
      <c r="A167">
        <v>166</v>
      </c>
      <c r="B167">
        <v>0</v>
      </c>
      <c r="C167">
        <f t="shared" si="7"/>
        <v>896</v>
      </c>
      <c r="D167" s="2">
        <f t="shared" si="8"/>
        <v>12.5</v>
      </c>
    </row>
    <row r="168" spans="1:4" x14ac:dyDescent="0.2">
      <c r="A168">
        <v>167</v>
      </c>
      <c r="B168">
        <v>0</v>
      </c>
      <c r="C168">
        <f t="shared" si="7"/>
        <v>897</v>
      </c>
      <c r="D168" s="2">
        <f t="shared" si="8"/>
        <v>12.5</v>
      </c>
    </row>
    <row r="169" spans="1:4" x14ac:dyDescent="0.2">
      <c r="A169">
        <v>168</v>
      </c>
      <c r="B169">
        <v>0</v>
      </c>
      <c r="C169">
        <f t="shared" si="7"/>
        <v>898</v>
      </c>
      <c r="D169" s="2">
        <f t="shared" si="8"/>
        <v>12.5</v>
      </c>
    </row>
    <row r="170" spans="1:4" x14ac:dyDescent="0.2">
      <c r="A170">
        <v>169</v>
      </c>
      <c r="B170">
        <v>0</v>
      </c>
      <c r="C170">
        <f t="shared" si="7"/>
        <v>899</v>
      </c>
      <c r="D170" s="2">
        <f t="shared" si="8"/>
        <v>12.5</v>
      </c>
    </row>
    <row r="171" spans="1:4" x14ac:dyDescent="0.2">
      <c r="A171">
        <v>170</v>
      </c>
      <c r="B171">
        <v>0</v>
      </c>
      <c r="C171">
        <f t="shared" si="7"/>
        <v>900</v>
      </c>
      <c r="D171" s="2">
        <f t="shared" si="8"/>
        <v>12.5</v>
      </c>
    </row>
    <row r="172" spans="1:4" x14ac:dyDescent="0.2">
      <c r="A172">
        <v>171</v>
      </c>
      <c r="B172">
        <v>0</v>
      </c>
      <c r="C172">
        <f t="shared" si="7"/>
        <v>901</v>
      </c>
      <c r="D172" s="2">
        <f t="shared" si="8"/>
        <v>12.5</v>
      </c>
    </row>
    <row r="173" spans="1:4" x14ac:dyDescent="0.2">
      <c r="A173">
        <v>172</v>
      </c>
      <c r="B173">
        <v>0</v>
      </c>
      <c r="C173">
        <f t="shared" si="7"/>
        <v>902</v>
      </c>
      <c r="D173" s="2">
        <f t="shared" si="8"/>
        <v>12.5</v>
      </c>
    </row>
    <row r="174" spans="1:4" x14ac:dyDescent="0.2">
      <c r="A174">
        <v>173</v>
      </c>
      <c r="B174">
        <v>0</v>
      </c>
      <c r="C174">
        <f t="shared" si="7"/>
        <v>903</v>
      </c>
      <c r="D174" s="2">
        <f t="shared" si="8"/>
        <v>12.5</v>
      </c>
    </row>
    <row r="175" spans="1:4" x14ac:dyDescent="0.2">
      <c r="A175">
        <v>174</v>
      </c>
      <c r="B175">
        <v>0</v>
      </c>
      <c r="C175">
        <f t="shared" si="7"/>
        <v>904</v>
      </c>
      <c r="D175" s="2">
        <f t="shared" si="8"/>
        <v>12.5</v>
      </c>
    </row>
    <row r="176" spans="1:4" x14ac:dyDescent="0.2">
      <c r="A176">
        <v>175</v>
      </c>
      <c r="B176">
        <v>0</v>
      </c>
      <c r="C176">
        <f t="shared" si="7"/>
        <v>905</v>
      </c>
      <c r="D176" s="2">
        <f t="shared" si="8"/>
        <v>12.5</v>
      </c>
    </row>
    <row r="177" spans="1:4" x14ac:dyDescent="0.2">
      <c r="A177">
        <v>176</v>
      </c>
      <c r="B177">
        <v>0</v>
      </c>
      <c r="C177">
        <f t="shared" si="7"/>
        <v>906</v>
      </c>
      <c r="D177" s="2">
        <f t="shared" si="8"/>
        <v>12.5</v>
      </c>
    </row>
    <row r="178" spans="1:4" x14ac:dyDescent="0.2">
      <c r="A178">
        <v>177</v>
      </c>
      <c r="B178">
        <v>0</v>
      </c>
      <c r="C178">
        <f t="shared" si="7"/>
        <v>907</v>
      </c>
      <c r="D178" s="2">
        <f t="shared" si="8"/>
        <v>12.5</v>
      </c>
    </row>
    <row r="179" spans="1:4" x14ac:dyDescent="0.2">
      <c r="A179">
        <v>178</v>
      </c>
      <c r="B179">
        <v>0</v>
      </c>
      <c r="C179">
        <f t="shared" si="7"/>
        <v>908</v>
      </c>
      <c r="D179" s="2">
        <f t="shared" si="8"/>
        <v>12.5</v>
      </c>
    </row>
    <row r="180" spans="1:4" x14ac:dyDescent="0.2">
      <c r="A180">
        <v>179</v>
      </c>
      <c r="B180">
        <v>0</v>
      </c>
      <c r="C180">
        <f t="shared" si="7"/>
        <v>909</v>
      </c>
      <c r="D180" s="2">
        <f t="shared" si="8"/>
        <v>12.5</v>
      </c>
    </row>
    <row r="181" spans="1:4" x14ac:dyDescent="0.2">
      <c r="A181">
        <v>180</v>
      </c>
      <c r="B181">
        <v>0</v>
      </c>
      <c r="C181">
        <f t="shared" si="7"/>
        <v>910</v>
      </c>
      <c r="D181" s="2">
        <f t="shared" si="8"/>
        <v>12.5</v>
      </c>
    </row>
    <row r="182" spans="1:4" x14ac:dyDescent="0.2">
      <c r="A182">
        <v>181</v>
      </c>
      <c r="B182">
        <v>0</v>
      </c>
      <c r="C182">
        <f t="shared" si="7"/>
        <v>911</v>
      </c>
      <c r="D182" s="2">
        <f t="shared" si="8"/>
        <v>12.5</v>
      </c>
    </row>
    <row r="183" spans="1:4" x14ac:dyDescent="0.2">
      <c r="A183">
        <v>182</v>
      </c>
      <c r="B183">
        <v>0</v>
      </c>
      <c r="C183">
        <f t="shared" si="7"/>
        <v>912</v>
      </c>
      <c r="D183" s="2">
        <f t="shared" si="8"/>
        <v>12.5</v>
      </c>
    </row>
    <row r="184" spans="1:4" x14ac:dyDescent="0.2">
      <c r="A184">
        <v>183</v>
      </c>
      <c r="B184">
        <v>0</v>
      </c>
      <c r="C184">
        <f t="shared" si="7"/>
        <v>913</v>
      </c>
      <c r="D184" s="2">
        <f t="shared" si="8"/>
        <v>12.5</v>
      </c>
    </row>
    <row r="185" spans="1:4" x14ac:dyDescent="0.2">
      <c r="A185">
        <v>184</v>
      </c>
      <c r="B185">
        <v>0</v>
      </c>
      <c r="C185">
        <f t="shared" si="7"/>
        <v>914</v>
      </c>
      <c r="D185" s="2">
        <f t="shared" si="8"/>
        <v>12.5</v>
      </c>
    </row>
    <row r="186" spans="1:4" x14ac:dyDescent="0.2">
      <c r="A186">
        <v>185</v>
      </c>
      <c r="B186">
        <v>0</v>
      </c>
      <c r="C186">
        <f t="shared" si="7"/>
        <v>915</v>
      </c>
      <c r="D186" s="2">
        <f t="shared" si="8"/>
        <v>12.5</v>
      </c>
    </row>
    <row r="187" spans="1:4" x14ac:dyDescent="0.2">
      <c r="A187">
        <v>186</v>
      </c>
      <c r="B187">
        <v>0</v>
      </c>
      <c r="C187">
        <f t="shared" si="7"/>
        <v>916</v>
      </c>
      <c r="D187" s="2">
        <f t="shared" si="8"/>
        <v>12.5</v>
      </c>
    </row>
    <row r="188" spans="1:4" x14ac:dyDescent="0.2">
      <c r="A188">
        <v>187</v>
      </c>
      <c r="B188">
        <v>0</v>
      </c>
      <c r="C188">
        <f t="shared" si="7"/>
        <v>917</v>
      </c>
      <c r="D188" s="2">
        <f t="shared" si="8"/>
        <v>12.5</v>
      </c>
    </row>
    <row r="189" spans="1:4" x14ac:dyDescent="0.2">
      <c r="A189">
        <v>188</v>
      </c>
      <c r="B189">
        <v>0</v>
      </c>
      <c r="C189">
        <f t="shared" si="7"/>
        <v>918</v>
      </c>
      <c r="D189" s="2">
        <f t="shared" si="8"/>
        <v>12.5</v>
      </c>
    </row>
    <row r="190" spans="1:4" x14ac:dyDescent="0.2">
      <c r="A190">
        <v>189</v>
      </c>
      <c r="B190">
        <v>0</v>
      </c>
      <c r="C190">
        <f t="shared" si="7"/>
        <v>919</v>
      </c>
      <c r="D190" s="2">
        <f t="shared" si="8"/>
        <v>12.5</v>
      </c>
    </row>
    <row r="191" spans="1:4" x14ac:dyDescent="0.2">
      <c r="A191">
        <v>190</v>
      </c>
      <c r="B191">
        <v>0</v>
      </c>
      <c r="C191">
        <f t="shared" si="7"/>
        <v>920</v>
      </c>
      <c r="D191" s="2">
        <f t="shared" si="8"/>
        <v>12.5</v>
      </c>
    </row>
    <row r="192" spans="1:4" x14ac:dyDescent="0.2">
      <c r="A192">
        <v>191</v>
      </c>
      <c r="B192">
        <v>0</v>
      </c>
      <c r="C192">
        <f t="shared" si="7"/>
        <v>921</v>
      </c>
      <c r="D192" s="2">
        <f t="shared" si="8"/>
        <v>12.5</v>
      </c>
    </row>
    <row r="193" spans="1:4" x14ac:dyDescent="0.2">
      <c r="A193">
        <v>192</v>
      </c>
      <c r="B193">
        <v>0</v>
      </c>
      <c r="C193">
        <f t="shared" si="7"/>
        <v>922</v>
      </c>
      <c r="D193" s="2">
        <f t="shared" si="8"/>
        <v>12.5</v>
      </c>
    </row>
    <row r="194" spans="1:4" x14ac:dyDescent="0.2">
      <c r="A194">
        <v>193</v>
      </c>
      <c r="B194">
        <v>0</v>
      </c>
      <c r="C194">
        <f t="shared" si="7"/>
        <v>923</v>
      </c>
      <c r="D194" s="2">
        <f t="shared" si="8"/>
        <v>12.5</v>
      </c>
    </row>
    <row r="195" spans="1:4" x14ac:dyDescent="0.2">
      <c r="A195">
        <v>194</v>
      </c>
      <c r="B195">
        <v>0</v>
      </c>
      <c r="C195">
        <f t="shared" ref="C195:C258" si="9">A195+730</f>
        <v>924</v>
      </c>
      <c r="D195" s="2">
        <f t="shared" ref="D195:D258" si="10">$I$8</f>
        <v>12.5</v>
      </c>
    </row>
    <row r="196" spans="1:4" x14ac:dyDescent="0.2">
      <c r="A196">
        <v>195</v>
      </c>
      <c r="B196">
        <v>0</v>
      </c>
      <c r="C196">
        <f t="shared" si="9"/>
        <v>925</v>
      </c>
      <c r="D196" s="2">
        <f t="shared" si="10"/>
        <v>12.5</v>
      </c>
    </row>
    <row r="197" spans="1:4" x14ac:dyDescent="0.2">
      <c r="A197">
        <v>196</v>
      </c>
      <c r="B197">
        <v>0</v>
      </c>
      <c r="C197">
        <f t="shared" si="9"/>
        <v>926</v>
      </c>
      <c r="D197" s="2">
        <f t="shared" si="10"/>
        <v>12.5</v>
      </c>
    </row>
    <row r="198" spans="1:4" x14ac:dyDescent="0.2">
      <c r="A198">
        <v>197</v>
      </c>
      <c r="B198">
        <v>0</v>
      </c>
      <c r="C198">
        <f t="shared" si="9"/>
        <v>927</v>
      </c>
      <c r="D198" s="2">
        <f t="shared" si="10"/>
        <v>12.5</v>
      </c>
    </row>
    <row r="199" spans="1:4" x14ac:dyDescent="0.2">
      <c r="A199">
        <v>198</v>
      </c>
      <c r="B199">
        <v>0</v>
      </c>
      <c r="C199">
        <f t="shared" si="9"/>
        <v>928</v>
      </c>
      <c r="D199" s="2">
        <f t="shared" si="10"/>
        <v>12.5</v>
      </c>
    </row>
    <row r="200" spans="1:4" x14ac:dyDescent="0.2">
      <c r="A200">
        <v>199</v>
      </c>
      <c r="B200">
        <v>0</v>
      </c>
      <c r="C200">
        <f t="shared" si="9"/>
        <v>929</v>
      </c>
      <c r="D200" s="2">
        <f t="shared" si="10"/>
        <v>12.5</v>
      </c>
    </row>
    <row r="201" spans="1:4" x14ac:dyDescent="0.2">
      <c r="A201">
        <v>200</v>
      </c>
      <c r="B201">
        <v>0</v>
      </c>
      <c r="C201">
        <f t="shared" si="9"/>
        <v>930</v>
      </c>
      <c r="D201" s="2">
        <f t="shared" si="10"/>
        <v>12.5</v>
      </c>
    </row>
    <row r="202" spans="1:4" x14ac:dyDescent="0.2">
      <c r="A202">
        <v>201</v>
      </c>
      <c r="B202">
        <v>0</v>
      </c>
      <c r="C202">
        <f t="shared" si="9"/>
        <v>931</v>
      </c>
      <c r="D202" s="2">
        <f t="shared" si="10"/>
        <v>12.5</v>
      </c>
    </row>
    <row r="203" spans="1:4" x14ac:dyDescent="0.2">
      <c r="A203">
        <v>202</v>
      </c>
      <c r="B203">
        <v>0</v>
      </c>
      <c r="C203">
        <f t="shared" si="9"/>
        <v>932</v>
      </c>
      <c r="D203" s="2">
        <f t="shared" si="10"/>
        <v>12.5</v>
      </c>
    </row>
    <row r="204" spans="1:4" x14ac:dyDescent="0.2">
      <c r="A204">
        <v>203</v>
      </c>
      <c r="B204">
        <v>0</v>
      </c>
      <c r="C204">
        <f t="shared" si="9"/>
        <v>933</v>
      </c>
      <c r="D204" s="2">
        <f t="shared" si="10"/>
        <v>12.5</v>
      </c>
    </row>
    <row r="205" spans="1:4" x14ac:dyDescent="0.2">
      <c r="A205">
        <v>204</v>
      </c>
      <c r="B205">
        <v>0</v>
      </c>
      <c r="C205">
        <f t="shared" si="9"/>
        <v>934</v>
      </c>
      <c r="D205" s="2">
        <f t="shared" si="10"/>
        <v>12.5</v>
      </c>
    </row>
    <row r="206" spans="1:4" x14ac:dyDescent="0.2">
      <c r="A206">
        <v>205</v>
      </c>
      <c r="B206">
        <v>0</v>
      </c>
      <c r="C206">
        <f t="shared" si="9"/>
        <v>935</v>
      </c>
      <c r="D206" s="2">
        <f t="shared" si="10"/>
        <v>12.5</v>
      </c>
    </row>
    <row r="207" spans="1:4" x14ac:dyDescent="0.2">
      <c r="A207">
        <v>206</v>
      </c>
      <c r="B207">
        <v>0</v>
      </c>
      <c r="C207">
        <f t="shared" si="9"/>
        <v>936</v>
      </c>
      <c r="D207" s="2">
        <f t="shared" si="10"/>
        <v>12.5</v>
      </c>
    </row>
    <row r="208" spans="1:4" x14ac:dyDescent="0.2">
      <c r="A208">
        <v>207</v>
      </c>
      <c r="B208">
        <v>0</v>
      </c>
      <c r="C208">
        <f t="shared" si="9"/>
        <v>937</v>
      </c>
      <c r="D208" s="2">
        <f t="shared" si="10"/>
        <v>12.5</v>
      </c>
    </row>
    <row r="209" spans="1:4" x14ac:dyDescent="0.2">
      <c r="A209">
        <v>208</v>
      </c>
      <c r="B209">
        <v>0</v>
      </c>
      <c r="C209">
        <f t="shared" si="9"/>
        <v>938</v>
      </c>
      <c r="D209" s="2">
        <f t="shared" si="10"/>
        <v>12.5</v>
      </c>
    </row>
    <row r="210" spans="1:4" x14ac:dyDescent="0.2">
      <c r="A210">
        <v>209</v>
      </c>
      <c r="B210">
        <v>0</v>
      </c>
      <c r="C210">
        <f t="shared" si="9"/>
        <v>939</v>
      </c>
      <c r="D210" s="2">
        <f t="shared" si="10"/>
        <v>12.5</v>
      </c>
    </row>
    <row r="211" spans="1:4" x14ac:dyDescent="0.2">
      <c r="A211">
        <v>210</v>
      </c>
      <c r="B211">
        <v>0</v>
      </c>
      <c r="C211">
        <f t="shared" si="9"/>
        <v>940</v>
      </c>
      <c r="D211" s="2">
        <f t="shared" si="10"/>
        <v>12.5</v>
      </c>
    </row>
    <row r="212" spans="1:4" x14ac:dyDescent="0.2">
      <c r="A212">
        <v>211</v>
      </c>
      <c r="B212">
        <v>0</v>
      </c>
      <c r="C212">
        <f t="shared" si="9"/>
        <v>941</v>
      </c>
      <c r="D212" s="2">
        <f t="shared" si="10"/>
        <v>12.5</v>
      </c>
    </row>
    <row r="213" spans="1:4" x14ac:dyDescent="0.2">
      <c r="A213">
        <v>212</v>
      </c>
      <c r="B213">
        <v>0</v>
      </c>
      <c r="C213">
        <f t="shared" si="9"/>
        <v>942</v>
      </c>
      <c r="D213" s="2">
        <f t="shared" si="10"/>
        <v>12.5</v>
      </c>
    </row>
    <row r="214" spans="1:4" x14ac:dyDescent="0.2">
      <c r="A214">
        <v>213</v>
      </c>
      <c r="B214">
        <v>0</v>
      </c>
      <c r="C214">
        <f t="shared" si="9"/>
        <v>943</v>
      </c>
      <c r="D214" s="2">
        <f t="shared" si="10"/>
        <v>12.5</v>
      </c>
    </row>
    <row r="215" spans="1:4" x14ac:dyDescent="0.2">
      <c r="A215">
        <v>214</v>
      </c>
      <c r="B215">
        <v>0</v>
      </c>
      <c r="C215">
        <f t="shared" si="9"/>
        <v>944</v>
      </c>
      <c r="D215" s="2">
        <f t="shared" si="10"/>
        <v>12.5</v>
      </c>
    </row>
    <row r="216" spans="1:4" x14ac:dyDescent="0.2">
      <c r="A216">
        <v>215</v>
      </c>
      <c r="B216">
        <v>0</v>
      </c>
      <c r="C216">
        <f t="shared" si="9"/>
        <v>945</v>
      </c>
      <c r="D216" s="2">
        <f t="shared" si="10"/>
        <v>12.5</v>
      </c>
    </row>
    <row r="217" spans="1:4" x14ac:dyDescent="0.2">
      <c r="A217">
        <v>216</v>
      </c>
      <c r="B217">
        <v>0</v>
      </c>
      <c r="C217">
        <f t="shared" si="9"/>
        <v>946</v>
      </c>
      <c r="D217" s="2">
        <f t="shared" si="10"/>
        <v>12.5</v>
      </c>
    </row>
    <row r="218" spans="1:4" x14ac:dyDescent="0.2">
      <c r="A218">
        <v>217</v>
      </c>
      <c r="B218">
        <v>0</v>
      </c>
      <c r="C218">
        <f t="shared" si="9"/>
        <v>947</v>
      </c>
      <c r="D218" s="2">
        <f t="shared" si="10"/>
        <v>12.5</v>
      </c>
    </row>
    <row r="219" spans="1:4" x14ac:dyDescent="0.2">
      <c r="A219">
        <v>218</v>
      </c>
      <c r="B219">
        <v>0</v>
      </c>
      <c r="C219">
        <f t="shared" si="9"/>
        <v>948</v>
      </c>
      <c r="D219" s="2">
        <f t="shared" si="10"/>
        <v>12.5</v>
      </c>
    </row>
    <row r="220" spans="1:4" x14ac:dyDescent="0.2">
      <c r="A220">
        <v>219</v>
      </c>
      <c r="B220">
        <v>0</v>
      </c>
      <c r="C220">
        <f t="shared" si="9"/>
        <v>949</v>
      </c>
      <c r="D220" s="2">
        <f t="shared" si="10"/>
        <v>12.5</v>
      </c>
    </row>
    <row r="221" spans="1:4" x14ac:dyDescent="0.2">
      <c r="A221">
        <v>220</v>
      </c>
      <c r="B221">
        <v>0</v>
      </c>
      <c r="C221">
        <f t="shared" si="9"/>
        <v>950</v>
      </c>
      <c r="D221" s="2">
        <f t="shared" si="10"/>
        <v>12.5</v>
      </c>
    </row>
    <row r="222" spans="1:4" x14ac:dyDescent="0.2">
      <c r="A222">
        <v>221</v>
      </c>
      <c r="B222">
        <v>0</v>
      </c>
      <c r="C222">
        <f t="shared" si="9"/>
        <v>951</v>
      </c>
      <c r="D222" s="2">
        <f t="shared" si="10"/>
        <v>12.5</v>
      </c>
    </row>
    <row r="223" spans="1:4" x14ac:dyDescent="0.2">
      <c r="A223">
        <v>222</v>
      </c>
      <c r="B223">
        <v>0</v>
      </c>
      <c r="C223">
        <f t="shared" si="9"/>
        <v>952</v>
      </c>
      <c r="D223" s="2">
        <f t="shared" si="10"/>
        <v>12.5</v>
      </c>
    </row>
    <row r="224" spans="1:4" x14ac:dyDescent="0.2">
      <c r="A224">
        <v>223</v>
      </c>
      <c r="B224">
        <v>0</v>
      </c>
      <c r="C224">
        <f t="shared" si="9"/>
        <v>953</v>
      </c>
      <c r="D224" s="2">
        <f t="shared" si="10"/>
        <v>12.5</v>
      </c>
    </row>
    <row r="225" spans="1:4" x14ac:dyDescent="0.2">
      <c r="A225">
        <v>224</v>
      </c>
      <c r="B225">
        <v>0</v>
      </c>
      <c r="C225">
        <f t="shared" si="9"/>
        <v>954</v>
      </c>
      <c r="D225" s="2">
        <f t="shared" si="10"/>
        <v>12.5</v>
      </c>
    </row>
    <row r="226" spans="1:4" x14ac:dyDescent="0.2">
      <c r="A226">
        <v>225</v>
      </c>
      <c r="B226">
        <v>0</v>
      </c>
      <c r="C226">
        <f t="shared" si="9"/>
        <v>955</v>
      </c>
      <c r="D226" s="2">
        <f t="shared" si="10"/>
        <v>12.5</v>
      </c>
    </row>
    <row r="227" spans="1:4" x14ac:dyDescent="0.2">
      <c r="A227">
        <v>226</v>
      </c>
      <c r="B227">
        <v>0</v>
      </c>
      <c r="C227">
        <f t="shared" si="9"/>
        <v>956</v>
      </c>
      <c r="D227" s="2">
        <f t="shared" si="10"/>
        <v>12.5</v>
      </c>
    </row>
    <row r="228" spans="1:4" x14ac:dyDescent="0.2">
      <c r="A228">
        <v>227</v>
      </c>
      <c r="B228">
        <v>0</v>
      </c>
      <c r="C228">
        <f t="shared" si="9"/>
        <v>957</v>
      </c>
      <c r="D228" s="2">
        <f t="shared" si="10"/>
        <v>12.5</v>
      </c>
    </row>
    <row r="229" spans="1:4" x14ac:dyDescent="0.2">
      <c r="A229">
        <v>228</v>
      </c>
      <c r="B229">
        <v>0</v>
      </c>
      <c r="C229">
        <f t="shared" si="9"/>
        <v>958</v>
      </c>
      <c r="D229" s="2">
        <f t="shared" si="10"/>
        <v>12.5</v>
      </c>
    </row>
    <row r="230" spans="1:4" x14ac:dyDescent="0.2">
      <c r="A230">
        <v>229</v>
      </c>
      <c r="B230">
        <v>0</v>
      </c>
      <c r="C230">
        <f t="shared" si="9"/>
        <v>959</v>
      </c>
      <c r="D230" s="2">
        <f t="shared" si="10"/>
        <v>12.5</v>
      </c>
    </row>
    <row r="231" spans="1:4" x14ac:dyDescent="0.2">
      <c r="A231">
        <v>230</v>
      </c>
      <c r="B231">
        <v>0</v>
      </c>
      <c r="C231">
        <f t="shared" si="9"/>
        <v>960</v>
      </c>
      <c r="D231" s="2">
        <f t="shared" si="10"/>
        <v>12.5</v>
      </c>
    </row>
    <row r="232" spans="1:4" x14ac:dyDescent="0.2">
      <c r="A232">
        <v>231</v>
      </c>
      <c r="B232">
        <v>0</v>
      </c>
      <c r="C232">
        <f t="shared" si="9"/>
        <v>961</v>
      </c>
      <c r="D232" s="2">
        <f t="shared" si="10"/>
        <v>12.5</v>
      </c>
    </row>
    <row r="233" spans="1:4" x14ac:dyDescent="0.2">
      <c r="A233">
        <v>232</v>
      </c>
      <c r="B233">
        <v>0</v>
      </c>
      <c r="C233">
        <f t="shared" si="9"/>
        <v>962</v>
      </c>
      <c r="D233" s="2">
        <f t="shared" si="10"/>
        <v>12.5</v>
      </c>
    </row>
    <row r="234" spans="1:4" x14ac:dyDescent="0.2">
      <c r="A234">
        <v>233</v>
      </c>
      <c r="B234">
        <v>0</v>
      </c>
      <c r="C234">
        <f t="shared" si="9"/>
        <v>963</v>
      </c>
      <c r="D234" s="2">
        <f t="shared" si="10"/>
        <v>12.5</v>
      </c>
    </row>
    <row r="235" spans="1:4" x14ac:dyDescent="0.2">
      <c r="A235">
        <v>234</v>
      </c>
      <c r="B235">
        <v>0</v>
      </c>
      <c r="C235">
        <f t="shared" si="9"/>
        <v>964</v>
      </c>
      <c r="D235" s="2">
        <f t="shared" si="10"/>
        <v>12.5</v>
      </c>
    </row>
    <row r="236" spans="1:4" x14ac:dyDescent="0.2">
      <c r="A236">
        <v>235</v>
      </c>
      <c r="B236">
        <v>0</v>
      </c>
      <c r="C236">
        <f t="shared" si="9"/>
        <v>965</v>
      </c>
      <c r="D236" s="2">
        <f t="shared" si="10"/>
        <v>12.5</v>
      </c>
    </row>
    <row r="237" spans="1:4" x14ac:dyDescent="0.2">
      <c r="A237">
        <v>236</v>
      </c>
      <c r="B237">
        <v>0</v>
      </c>
      <c r="C237">
        <f t="shared" si="9"/>
        <v>966</v>
      </c>
      <c r="D237" s="2">
        <f t="shared" si="10"/>
        <v>12.5</v>
      </c>
    </row>
    <row r="238" spans="1:4" x14ac:dyDescent="0.2">
      <c r="A238">
        <v>237</v>
      </c>
      <c r="B238">
        <v>0</v>
      </c>
      <c r="C238">
        <f t="shared" si="9"/>
        <v>967</v>
      </c>
      <c r="D238" s="2">
        <f t="shared" si="10"/>
        <v>12.5</v>
      </c>
    </row>
    <row r="239" spans="1:4" x14ac:dyDescent="0.2">
      <c r="A239">
        <v>238</v>
      </c>
      <c r="B239">
        <v>0</v>
      </c>
      <c r="C239">
        <f t="shared" si="9"/>
        <v>968</v>
      </c>
      <c r="D239" s="2">
        <f t="shared" si="10"/>
        <v>12.5</v>
      </c>
    </row>
    <row r="240" spans="1:4" x14ac:dyDescent="0.2">
      <c r="A240">
        <v>239</v>
      </c>
      <c r="B240">
        <v>0</v>
      </c>
      <c r="C240">
        <f t="shared" si="9"/>
        <v>969</v>
      </c>
      <c r="D240" s="2">
        <f t="shared" si="10"/>
        <v>12.5</v>
      </c>
    </row>
    <row r="241" spans="1:4" x14ac:dyDescent="0.2">
      <c r="A241">
        <v>240</v>
      </c>
      <c r="B241">
        <v>0</v>
      </c>
      <c r="C241">
        <f t="shared" si="9"/>
        <v>970</v>
      </c>
      <c r="D241" s="2">
        <f t="shared" si="10"/>
        <v>12.5</v>
      </c>
    </row>
    <row r="242" spans="1:4" x14ac:dyDescent="0.2">
      <c r="A242">
        <v>241</v>
      </c>
      <c r="B242">
        <v>0</v>
      </c>
      <c r="C242">
        <f t="shared" si="9"/>
        <v>971</v>
      </c>
      <c r="D242" s="2">
        <f t="shared" si="10"/>
        <v>12.5</v>
      </c>
    </row>
    <row r="243" spans="1:4" x14ac:dyDescent="0.2">
      <c r="A243">
        <v>242</v>
      </c>
      <c r="B243">
        <v>0</v>
      </c>
      <c r="C243">
        <f t="shared" si="9"/>
        <v>972</v>
      </c>
      <c r="D243" s="2">
        <f t="shared" si="10"/>
        <v>12.5</v>
      </c>
    </row>
    <row r="244" spans="1:4" x14ac:dyDescent="0.2">
      <c r="A244">
        <v>243</v>
      </c>
      <c r="B244">
        <v>0</v>
      </c>
      <c r="C244">
        <f t="shared" si="9"/>
        <v>973</v>
      </c>
      <c r="D244" s="2">
        <f t="shared" si="10"/>
        <v>12.5</v>
      </c>
    </row>
    <row r="245" spans="1:4" x14ac:dyDescent="0.2">
      <c r="A245">
        <v>244</v>
      </c>
      <c r="B245">
        <v>0</v>
      </c>
      <c r="C245">
        <f t="shared" si="9"/>
        <v>974</v>
      </c>
      <c r="D245" s="2">
        <f t="shared" si="10"/>
        <v>12.5</v>
      </c>
    </row>
    <row r="246" spans="1:4" x14ac:dyDescent="0.2">
      <c r="A246">
        <v>245</v>
      </c>
      <c r="B246">
        <v>0</v>
      </c>
      <c r="C246">
        <f t="shared" si="9"/>
        <v>975</v>
      </c>
      <c r="D246" s="2">
        <f t="shared" si="10"/>
        <v>12.5</v>
      </c>
    </row>
    <row r="247" spans="1:4" x14ac:dyDescent="0.2">
      <c r="A247">
        <v>246</v>
      </c>
      <c r="B247">
        <v>0</v>
      </c>
      <c r="C247">
        <f t="shared" si="9"/>
        <v>976</v>
      </c>
      <c r="D247" s="2">
        <f t="shared" si="10"/>
        <v>12.5</v>
      </c>
    </row>
    <row r="248" spans="1:4" x14ac:dyDescent="0.2">
      <c r="A248">
        <v>247</v>
      </c>
      <c r="B248">
        <v>0</v>
      </c>
      <c r="C248">
        <f t="shared" si="9"/>
        <v>977</v>
      </c>
      <c r="D248" s="2">
        <f t="shared" si="10"/>
        <v>12.5</v>
      </c>
    </row>
    <row r="249" spans="1:4" x14ac:dyDescent="0.2">
      <c r="A249">
        <v>248</v>
      </c>
      <c r="B249">
        <v>0</v>
      </c>
      <c r="C249">
        <f t="shared" si="9"/>
        <v>978</v>
      </c>
      <c r="D249" s="2">
        <f t="shared" si="10"/>
        <v>12.5</v>
      </c>
    </row>
    <row r="250" spans="1:4" x14ac:dyDescent="0.2">
      <c r="A250">
        <v>249</v>
      </c>
      <c r="B250">
        <v>0</v>
      </c>
      <c r="C250">
        <f t="shared" si="9"/>
        <v>979</v>
      </c>
      <c r="D250" s="2">
        <f t="shared" si="10"/>
        <v>12.5</v>
      </c>
    </row>
    <row r="251" spans="1:4" x14ac:dyDescent="0.2">
      <c r="A251">
        <v>250</v>
      </c>
      <c r="B251">
        <v>0</v>
      </c>
      <c r="C251">
        <f t="shared" si="9"/>
        <v>980</v>
      </c>
      <c r="D251" s="2">
        <f t="shared" si="10"/>
        <v>12.5</v>
      </c>
    </row>
    <row r="252" spans="1:4" x14ac:dyDescent="0.2">
      <c r="A252">
        <v>251</v>
      </c>
      <c r="B252">
        <v>0</v>
      </c>
      <c r="C252">
        <f t="shared" si="9"/>
        <v>981</v>
      </c>
      <c r="D252" s="2">
        <f t="shared" si="10"/>
        <v>12.5</v>
      </c>
    </row>
    <row r="253" spans="1:4" x14ac:dyDescent="0.2">
      <c r="A253">
        <v>252</v>
      </c>
      <c r="B253">
        <v>0</v>
      </c>
      <c r="C253">
        <f t="shared" si="9"/>
        <v>982</v>
      </c>
      <c r="D253" s="2">
        <f t="shared" si="10"/>
        <v>12.5</v>
      </c>
    </row>
    <row r="254" spans="1:4" x14ac:dyDescent="0.2">
      <c r="A254">
        <v>253</v>
      </c>
      <c r="B254">
        <v>0</v>
      </c>
      <c r="C254">
        <f t="shared" si="9"/>
        <v>983</v>
      </c>
      <c r="D254" s="2">
        <f t="shared" si="10"/>
        <v>12.5</v>
      </c>
    </row>
    <row r="255" spans="1:4" x14ac:dyDescent="0.2">
      <c r="A255">
        <v>254</v>
      </c>
      <c r="B255">
        <v>0</v>
      </c>
      <c r="C255">
        <f t="shared" si="9"/>
        <v>984</v>
      </c>
      <c r="D255" s="2">
        <f t="shared" si="10"/>
        <v>12.5</v>
      </c>
    </row>
    <row r="256" spans="1:4" x14ac:dyDescent="0.2">
      <c r="A256">
        <v>255</v>
      </c>
      <c r="B256">
        <v>0</v>
      </c>
      <c r="C256">
        <f t="shared" si="9"/>
        <v>985</v>
      </c>
      <c r="D256" s="2">
        <f t="shared" si="10"/>
        <v>12.5</v>
      </c>
    </row>
    <row r="257" spans="1:4" x14ac:dyDescent="0.2">
      <c r="A257">
        <v>256</v>
      </c>
      <c r="B257">
        <v>0</v>
      </c>
      <c r="C257">
        <f t="shared" si="9"/>
        <v>986</v>
      </c>
      <c r="D257" s="2">
        <f t="shared" si="10"/>
        <v>12.5</v>
      </c>
    </row>
    <row r="258" spans="1:4" x14ac:dyDescent="0.2">
      <c r="A258">
        <v>257</v>
      </c>
      <c r="B258">
        <v>0</v>
      </c>
      <c r="C258">
        <f t="shared" si="9"/>
        <v>987</v>
      </c>
      <c r="D258" s="2">
        <f t="shared" si="10"/>
        <v>12.5</v>
      </c>
    </row>
    <row r="259" spans="1:4" x14ac:dyDescent="0.2">
      <c r="A259">
        <v>258</v>
      </c>
      <c r="B259">
        <v>0</v>
      </c>
      <c r="C259">
        <f t="shared" ref="C259:C322" si="11">A259+730</f>
        <v>988</v>
      </c>
      <c r="D259" s="2">
        <f t="shared" ref="D259:D322" si="12">$I$8</f>
        <v>12.5</v>
      </c>
    </row>
    <row r="260" spans="1:4" x14ac:dyDescent="0.2">
      <c r="A260">
        <v>259</v>
      </c>
      <c r="B260">
        <v>0</v>
      </c>
      <c r="C260">
        <f t="shared" si="11"/>
        <v>989</v>
      </c>
      <c r="D260" s="2">
        <f t="shared" si="12"/>
        <v>12.5</v>
      </c>
    </row>
    <row r="261" spans="1:4" x14ac:dyDescent="0.2">
      <c r="A261">
        <v>260</v>
      </c>
      <c r="B261">
        <v>0</v>
      </c>
      <c r="C261">
        <f t="shared" si="11"/>
        <v>990</v>
      </c>
      <c r="D261" s="2">
        <f t="shared" si="12"/>
        <v>12.5</v>
      </c>
    </row>
    <row r="262" spans="1:4" x14ac:dyDescent="0.2">
      <c r="A262">
        <v>261</v>
      </c>
      <c r="B262">
        <v>0</v>
      </c>
      <c r="C262">
        <f t="shared" si="11"/>
        <v>991</v>
      </c>
      <c r="D262" s="2">
        <f t="shared" si="12"/>
        <v>12.5</v>
      </c>
    </row>
    <row r="263" spans="1:4" x14ac:dyDescent="0.2">
      <c r="A263">
        <v>262</v>
      </c>
      <c r="B263">
        <v>0</v>
      </c>
      <c r="C263">
        <f t="shared" si="11"/>
        <v>992</v>
      </c>
      <c r="D263" s="2">
        <f t="shared" si="12"/>
        <v>12.5</v>
      </c>
    </row>
    <row r="264" spans="1:4" x14ac:dyDescent="0.2">
      <c r="A264">
        <v>263</v>
      </c>
      <c r="B264">
        <v>0</v>
      </c>
      <c r="C264">
        <f t="shared" si="11"/>
        <v>993</v>
      </c>
      <c r="D264" s="2">
        <f t="shared" si="12"/>
        <v>12.5</v>
      </c>
    </row>
    <row r="265" spans="1:4" x14ac:dyDescent="0.2">
      <c r="A265">
        <v>264</v>
      </c>
      <c r="B265">
        <v>0</v>
      </c>
      <c r="C265">
        <f t="shared" si="11"/>
        <v>994</v>
      </c>
      <c r="D265" s="2">
        <f t="shared" si="12"/>
        <v>12.5</v>
      </c>
    </row>
    <row r="266" spans="1:4" x14ac:dyDescent="0.2">
      <c r="A266">
        <v>265</v>
      </c>
      <c r="B266">
        <v>0</v>
      </c>
      <c r="C266">
        <f t="shared" si="11"/>
        <v>995</v>
      </c>
      <c r="D266" s="2">
        <f t="shared" si="12"/>
        <v>12.5</v>
      </c>
    </row>
    <row r="267" spans="1:4" x14ac:dyDescent="0.2">
      <c r="A267">
        <v>266</v>
      </c>
      <c r="B267">
        <v>0</v>
      </c>
      <c r="C267">
        <f t="shared" si="11"/>
        <v>996</v>
      </c>
      <c r="D267" s="2">
        <f t="shared" si="12"/>
        <v>12.5</v>
      </c>
    </row>
    <row r="268" spans="1:4" x14ac:dyDescent="0.2">
      <c r="A268">
        <v>267</v>
      </c>
      <c r="B268">
        <v>0</v>
      </c>
      <c r="C268">
        <f t="shared" si="11"/>
        <v>997</v>
      </c>
      <c r="D268" s="2">
        <f t="shared" si="12"/>
        <v>12.5</v>
      </c>
    </row>
    <row r="269" spans="1:4" x14ac:dyDescent="0.2">
      <c r="A269">
        <v>268</v>
      </c>
      <c r="B269">
        <v>0</v>
      </c>
      <c r="C269">
        <f t="shared" si="11"/>
        <v>998</v>
      </c>
      <c r="D269" s="2">
        <f t="shared" si="12"/>
        <v>12.5</v>
      </c>
    </row>
    <row r="270" spans="1:4" x14ac:dyDescent="0.2">
      <c r="A270">
        <v>269</v>
      </c>
      <c r="B270">
        <v>0</v>
      </c>
      <c r="C270">
        <f t="shared" si="11"/>
        <v>999</v>
      </c>
      <c r="D270" s="2">
        <f t="shared" si="12"/>
        <v>12.5</v>
      </c>
    </row>
    <row r="271" spans="1:4" x14ac:dyDescent="0.2">
      <c r="A271">
        <v>270</v>
      </c>
      <c r="B271">
        <v>0</v>
      </c>
      <c r="C271">
        <f t="shared" si="11"/>
        <v>1000</v>
      </c>
      <c r="D271" s="2">
        <f t="shared" si="12"/>
        <v>12.5</v>
      </c>
    </row>
    <row r="272" spans="1:4" x14ac:dyDescent="0.2">
      <c r="A272">
        <v>271</v>
      </c>
      <c r="B272">
        <v>0</v>
      </c>
      <c r="C272">
        <f t="shared" si="11"/>
        <v>1001</v>
      </c>
      <c r="D272" s="2">
        <f t="shared" si="12"/>
        <v>12.5</v>
      </c>
    </row>
    <row r="273" spans="1:4" x14ac:dyDescent="0.2">
      <c r="A273">
        <v>272</v>
      </c>
      <c r="B273">
        <v>0</v>
      </c>
      <c r="C273">
        <f t="shared" si="11"/>
        <v>1002</v>
      </c>
      <c r="D273" s="2">
        <f t="shared" si="12"/>
        <v>12.5</v>
      </c>
    </row>
    <row r="274" spans="1:4" x14ac:dyDescent="0.2">
      <c r="A274">
        <v>273</v>
      </c>
      <c r="B274">
        <v>0</v>
      </c>
      <c r="C274">
        <f t="shared" si="11"/>
        <v>1003</v>
      </c>
      <c r="D274" s="2">
        <f t="shared" si="12"/>
        <v>12.5</v>
      </c>
    </row>
    <row r="275" spans="1:4" x14ac:dyDescent="0.2">
      <c r="A275">
        <v>274</v>
      </c>
      <c r="B275">
        <v>0</v>
      </c>
      <c r="C275">
        <f t="shared" si="11"/>
        <v>1004</v>
      </c>
      <c r="D275" s="2">
        <f t="shared" si="12"/>
        <v>12.5</v>
      </c>
    </row>
    <row r="276" spans="1:4" x14ac:dyDescent="0.2">
      <c r="A276">
        <v>275</v>
      </c>
      <c r="B276">
        <v>0</v>
      </c>
      <c r="C276">
        <f t="shared" si="11"/>
        <v>1005</v>
      </c>
      <c r="D276" s="2">
        <f t="shared" si="12"/>
        <v>12.5</v>
      </c>
    </row>
    <row r="277" spans="1:4" x14ac:dyDescent="0.2">
      <c r="A277">
        <v>276</v>
      </c>
      <c r="B277">
        <v>0</v>
      </c>
      <c r="C277">
        <f t="shared" si="11"/>
        <v>1006</v>
      </c>
      <c r="D277" s="2">
        <f t="shared" si="12"/>
        <v>12.5</v>
      </c>
    </row>
    <row r="278" spans="1:4" x14ac:dyDescent="0.2">
      <c r="A278">
        <v>277</v>
      </c>
      <c r="B278">
        <v>0</v>
      </c>
      <c r="C278">
        <f t="shared" si="11"/>
        <v>1007</v>
      </c>
      <c r="D278" s="2">
        <f t="shared" si="12"/>
        <v>12.5</v>
      </c>
    </row>
    <row r="279" spans="1:4" x14ac:dyDescent="0.2">
      <c r="A279">
        <v>278</v>
      </c>
      <c r="B279">
        <v>0</v>
      </c>
      <c r="C279">
        <f t="shared" si="11"/>
        <v>1008</v>
      </c>
      <c r="D279" s="2">
        <f t="shared" si="12"/>
        <v>12.5</v>
      </c>
    </row>
    <row r="280" spans="1:4" x14ac:dyDescent="0.2">
      <c r="A280">
        <v>279</v>
      </c>
      <c r="B280">
        <v>0</v>
      </c>
      <c r="C280">
        <f t="shared" si="11"/>
        <v>1009</v>
      </c>
      <c r="D280" s="2">
        <f t="shared" si="12"/>
        <v>12.5</v>
      </c>
    </row>
    <row r="281" spans="1:4" x14ac:dyDescent="0.2">
      <c r="A281">
        <v>280</v>
      </c>
      <c r="B281">
        <v>0</v>
      </c>
      <c r="C281">
        <f t="shared" si="11"/>
        <v>1010</v>
      </c>
      <c r="D281" s="2">
        <f t="shared" si="12"/>
        <v>12.5</v>
      </c>
    </row>
    <row r="282" spans="1:4" x14ac:dyDescent="0.2">
      <c r="A282">
        <v>281</v>
      </c>
      <c r="B282">
        <v>0</v>
      </c>
      <c r="C282">
        <f t="shared" si="11"/>
        <v>1011</v>
      </c>
      <c r="D282" s="2">
        <f t="shared" si="12"/>
        <v>12.5</v>
      </c>
    </row>
    <row r="283" spans="1:4" x14ac:dyDescent="0.2">
      <c r="A283">
        <v>282</v>
      </c>
      <c r="B283">
        <v>0</v>
      </c>
      <c r="C283">
        <f t="shared" si="11"/>
        <v>1012</v>
      </c>
      <c r="D283" s="2">
        <f t="shared" si="12"/>
        <v>12.5</v>
      </c>
    </row>
    <row r="284" spans="1:4" x14ac:dyDescent="0.2">
      <c r="A284">
        <v>283</v>
      </c>
      <c r="B284">
        <v>0</v>
      </c>
      <c r="C284">
        <f t="shared" si="11"/>
        <v>1013</v>
      </c>
      <c r="D284" s="2">
        <f t="shared" si="12"/>
        <v>12.5</v>
      </c>
    </row>
    <row r="285" spans="1:4" x14ac:dyDescent="0.2">
      <c r="A285">
        <v>284</v>
      </c>
      <c r="B285">
        <v>0</v>
      </c>
      <c r="C285">
        <f t="shared" si="11"/>
        <v>1014</v>
      </c>
      <c r="D285" s="2">
        <f t="shared" si="12"/>
        <v>12.5</v>
      </c>
    </row>
    <row r="286" spans="1:4" x14ac:dyDescent="0.2">
      <c r="A286">
        <v>285</v>
      </c>
      <c r="B286">
        <v>0</v>
      </c>
      <c r="C286">
        <f t="shared" si="11"/>
        <v>1015</v>
      </c>
      <c r="D286" s="2">
        <f t="shared" si="12"/>
        <v>12.5</v>
      </c>
    </row>
    <row r="287" spans="1:4" x14ac:dyDescent="0.2">
      <c r="A287">
        <v>286</v>
      </c>
      <c r="B287">
        <v>0</v>
      </c>
      <c r="C287">
        <f t="shared" si="11"/>
        <v>1016</v>
      </c>
      <c r="D287" s="2">
        <f t="shared" si="12"/>
        <v>12.5</v>
      </c>
    </row>
    <row r="288" spans="1:4" x14ac:dyDescent="0.2">
      <c r="A288">
        <v>287</v>
      </c>
      <c r="B288">
        <v>0</v>
      </c>
      <c r="C288">
        <f t="shared" si="11"/>
        <v>1017</v>
      </c>
      <c r="D288" s="2">
        <f t="shared" si="12"/>
        <v>12.5</v>
      </c>
    </row>
    <row r="289" spans="1:4" x14ac:dyDescent="0.2">
      <c r="A289">
        <v>288</v>
      </c>
      <c r="B289">
        <v>0</v>
      </c>
      <c r="C289">
        <f t="shared" si="11"/>
        <v>1018</v>
      </c>
      <c r="D289" s="2">
        <f t="shared" si="12"/>
        <v>12.5</v>
      </c>
    </row>
    <row r="290" spans="1:4" x14ac:dyDescent="0.2">
      <c r="A290">
        <v>289</v>
      </c>
      <c r="B290">
        <v>0</v>
      </c>
      <c r="C290">
        <f t="shared" si="11"/>
        <v>1019</v>
      </c>
      <c r="D290" s="2">
        <f t="shared" si="12"/>
        <v>12.5</v>
      </c>
    </row>
    <row r="291" spans="1:4" x14ac:dyDescent="0.2">
      <c r="A291">
        <v>290</v>
      </c>
      <c r="B291">
        <v>0</v>
      </c>
      <c r="C291">
        <f t="shared" si="11"/>
        <v>1020</v>
      </c>
      <c r="D291" s="2">
        <f t="shared" si="12"/>
        <v>12.5</v>
      </c>
    </row>
    <row r="292" spans="1:4" x14ac:dyDescent="0.2">
      <c r="A292">
        <v>291</v>
      </c>
      <c r="B292">
        <v>0</v>
      </c>
      <c r="C292">
        <f t="shared" si="11"/>
        <v>1021</v>
      </c>
      <c r="D292" s="2">
        <f t="shared" si="12"/>
        <v>12.5</v>
      </c>
    </row>
    <row r="293" spans="1:4" x14ac:dyDescent="0.2">
      <c r="A293">
        <v>292</v>
      </c>
      <c r="B293">
        <v>0</v>
      </c>
      <c r="C293">
        <f t="shared" si="11"/>
        <v>1022</v>
      </c>
      <c r="D293" s="2">
        <f t="shared" si="12"/>
        <v>12.5</v>
      </c>
    </row>
    <row r="294" spans="1:4" x14ac:dyDescent="0.2">
      <c r="A294">
        <v>293</v>
      </c>
      <c r="B294">
        <v>0</v>
      </c>
      <c r="C294">
        <f t="shared" si="11"/>
        <v>1023</v>
      </c>
      <c r="D294" s="2">
        <f t="shared" si="12"/>
        <v>12.5</v>
      </c>
    </row>
    <row r="295" spans="1:4" x14ac:dyDescent="0.2">
      <c r="A295">
        <v>294</v>
      </c>
      <c r="B295">
        <v>0</v>
      </c>
      <c r="C295">
        <f t="shared" si="11"/>
        <v>1024</v>
      </c>
      <c r="D295" s="2">
        <f t="shared" si="12"/>
        <v>12.5</v>
      </c>
    </row>
    <row r="296" spans="1:4" x14ac:dyDescent="0.2">
      <c r="A296">
        <v>295</v>
      </c>
      <c r="B296">
        <v>0</v>
      </c>
      <c r="C296">
        <f t="shared" si="11"/>
        <v>1025</v>
      </c>
      <c r="D296" s="2">
        <f t="shared" si="12"/>
        <v>12.5</v>
      </c>
    </row>
    <row r="297" spans="1:4" x14ac:dyDescent="0.2">
      <c r="A297">
        <v>296</v>
      </c>
      <c r="B297">
        <v>0</v>
      </c>
      <c r="C297">
        <f t="shared" si="11"/>
        <v>1026</v>
      </c>
      <c r="D297" s="2">
        <f t="shared" si="12"/>
        <v>12.5</v>
      </c>
    </row>
    <row r="298" spans="1:4" x14ac:dyDescent="0.2">
      <c r="A298">
        <v>297</v>
      </c>
      <c r="B298">
        <v>0</v>
      </c>
      <c r="C298">
        <f t="shared" si="11"/>
        <v>1027</v>
      </c>
      <c r="D298" s="2">
        <f t="shared" si="12"/>
        <v>12.5</v>
      </c>
    </row>
    <row r="299" spans="1:4" x14ac:dyDescent="0.2">
      <c r="A299">
        <v>298</v>
      </c>
      <c r="B299">
        <v>0</v>
      </c>
      <c r="C299">
        <f t="shared" si="11"/>
        <v>1028</v>
      </c>
      <c r="D299" s="2">
        <f t="shared" si="12"/>
        <v>12.5</v>
      </c>
    </row>
    <row r="300" spans="1:4" x14ac:dyDescent="0.2">
      <c r="A300">
        <v>299</v>
      </c>
      <c r="B300">
        <v>0</v>
      </c>
      <c r="C300">
        <f t="shared" si="11"/>
        <v>1029</v>
      </c>
      <c r="D300" s="2">
        <f t="shared" si="12"/>
        <v>12.5</v>
      </c>
    </row>
    <row r="301" spans="1:4" x14ac:dyDescent="0.2">
      <c r="A301">
        <v>300</v>
      </c>
      <c r="B301">
        <v>0</v>
      </c>
      <c r="C301">
        <f t="shared" si="11"/>
        <v>1030</v>
      </c>
      <c r="D301" s="2">
        <f t="shared" si="12"/>
        <v>12.5</v>
      </c>
    </row>
    <row r="302" spans="1:4" x14ac:dyDescent="0.2">
      <c r="A302">
        <v>301</v>
      </c>
      <c r="B302">
        <v>0</v>
      </c>
      <c r="C302">
        <f t="shared" si="11"/>
        <v>1031</v>
      </c>
      <c r="D302" s="2">
        <f t="shared" si="12"/>
        <v>12.5</v>
      </c>
    </row>
    <row r="303" spans="1:4" x14ac:dyDescent="0.2">
      <c r="A303">
        <v>302</v>
      </c>
      <c r="B303">
        <v>0</v>
      </c>
      <c r="C303">
        <f t="shared" si="11"/>
        <v>1032</v>
      </c>
      <c r="D303" s="2">
        <f t="shared" si="12"/>
        <v>12.5</v>
      </c>
    </row>
    <row r="304" spans="1:4" x14ac:dyDescent="0.2">
      <c r="A304">
        <v>303</v>
      </c>
      <c r="B304">
        <v>0</v>
      </c>
      <c r="C304">
        <f t="shared" si="11"/>
        <v>1033</v>
      </c>
      <c r="D304" s="2">
        <f t="shared" si="12"/>
        <v>12.5</v>
      </c>
    </row>
    <row r="305" spans="1:4" x14ac:dyDescent="0.2">
      <c r="A305">
        <v>304</v>
      </c>
      <c r="B305">
        <v>0</v>
      </c>
      <c r="C305">
        <f t="shared" si="11"/>
        <v>1034</v>
      </c>
      <c r="D305" s="2">
        <f t="shared" si="12"/>
        <v>12.5</v>
      </c>
    </row>
    <row r="306" spans="1:4" x14ac:dyDescent="0.2">
      <c r="A306">
        <v>305</v>
      </c>
      <c r="B306">
        <v>0</v>
      </c>
      <c r="C306">
        <f t="shared" si="11"/>
        <v>1035</v>
      </c>
      <c r="D306" s="2">
        <f t="shared" si="12"/>
        <v>12.5</v>
      </c>
    </row>
    <row r="307" spans="1:4" x14ac:dyDescent="0.2">
      <c r="A307">
        <v>306</v>
      </c>
      <c r="B307">
        <v>0</v>
      </c>
      <c r="C307">
        <f t="shared" si="11"/>
        <v>1036</v>
      </c>
      <c r="D307" s="2">
        <f t="shared" si="12"/>
        <v>12.5</v>
      </c>
    </row>
    <row r="308" spans="1:4" x14ac:dyDescent="0.2">
      <c r="A308">
        <v>307</v>
      </c>
      <c r="B308">
        <v>0</v>
      </c>
      <c r="C308">
        <f t="shared" si="11"/>
        <v>1037</v>
      </c>
      <c r="D308" s="2">
        <f t="shared" si="12"/>
        <v>12.5</v>
      </c>
    </row>
    <row r="309" spans="1:4" x14ac:dyDescent="0.2">
      <c r="A309">
        <v>308</v>
      </c>
      <c r="B309">
        <v>0</v>
      </c>
      <c r="C309">
        <f t="shared" si="11"/>
        <v>1038</v>
      </c>
      <c r="D309" s="2">
        <f t="shared" si="12"/>
        <v>12.5</v>
      </c>
    </row>
    <row r="310" spans="1:4" x14ac:dyDescent="0.2">
      <c r="A310">
        <v>309</v>
      </c>
      <c r="B310">
        <v>0</v>
      </c>
      <c r="C310">
        <f t="shared" si="11"/>
        <v>1039</v>
      </c>
      <c r="D310" s="2">
        <f t="shared" si="12"/>
        <v>12.5</v>
      </c>
    </row>
    <row r="311" spans="1:4" x14ac:dyDescent="0.2">
      <c r="A311">
        <v>310</v>
      </c>
      <c r="B311">
        <v>0</v>
      </c>
      <c r="C311">
        <f t="shared" si="11"/>
        <v>1040</v>
      </c>
      <c r="D311" s="2">
        <f t="shared" si="12"/>
        <v>12.5</v>
      </c>
    </row>
    <row r="312" spans="1:4" x14ac:dyDescent="0.2">
      <c r="A312">
        <v>311</v>
      </c>
      <c r="B312">
        <v>0</v>
      </c>
      <c r="C312">
        <f t="shared" si="11"/>
        <v>1041</v>
      </c>
      <c r="D312" s="2">
        <f t="shared" si="12"/>
        <v>12.5</v>
      </c>
    </row>
    <row r="313" spans="1:4" x14ac:dyDescent="0.2">
      <c r="A313">
        <v>312</v>
      </c>
      <c r="B313">
        <v>0</v>
      </c>
      <c r="C313">
        <f t="shared" si="11"/>
        <v>1042</v>
      </c>
      <c r="D313" s="2">
        <f t="shared" si="12"/>
        <v>12.5</v>
      </c>
    </row>
    <row r="314" spans="1:4" x14ac:dyDescent="0.2">
      <c r="A314">
        <v>313</v>
      </c>
      <c r="B314">
        <v>0</v>
      </c>
      <c r="C314">
        <f t="shared" si="11"/>
        <v>1043</v>
      </c>
      <c r="D314" s="2">
        <f t="shared" si="12"/>
        <v>12.5</v>
      </c>
    </row>
    <row r="315" spans="1:4" x14ac:dyDescent="0.2">
      <c r="A315">
        <v>314</v>
      </c>
      <c r="B315">
        <v>0</v>
      </c>
      <c r="C315">
        <f t="shared" si="11"/>
        <v>1044</v>
      </c>
      <c r="D315" s="2">
        <f t="shared" si="12"/>
        <v>12.5</v>
      </c>
    </row>
    <row r="316" spans="1:4" x14ac:dyDescent="0.2">
      <c r="A316">
        <v>315</v>
      </c>
      <c r="B316">
        <v>0</v>
      </c>
      <c r="C316">
        <f t="shared" si="11"/>
        <v>1045</v>
      </c>
      <c r="D316" s="2">
        <f t="shared" si="12"/>
        <v>12.5</v>
      </c>
    </row>
    <row r="317" spans="1:4" x14ac:dyDescent="0.2">
      <c r="A317">
        <v>316</v>
      </c>
      <c r="B317">
        <v>0</v>
      </c>
      <c r="C317">
        <f t="shared" si="11"/>
        <v>1046</v>
      </c>
      <c r="D317" s="2">
        <f t="shared" si="12"/>
        <v>12.5</v>
      </c>
    </row>
    <row r="318" spans="1:4" x14ac:dyDescent="0.2">
      <c r="A318">
        <v>317</v>
      </c>
      <c r="B318">
        <v>0</v>
      </c>
      <c r="C318">
        <f t="shared" si="11"/>
        <v>1047</v>
      </c>
      <c r="D318" s="2">
        <f t="shared" si="12"/>
        <v>12.5</v>
      </c>
    </row>
    <row r="319" spans="1:4" x14ac:dyDescent="0.2">
      <c r="A319">
        <v>318</v>
      </c>
      <c r="B319">
        <v>0</v>
      </c>
      <c r="C319">
        <f t="shared" si="11"/>
        <v>1048</v>
      </c>
      <c r="D319" s="2">
        <f t="shared" si="12"/>
        <v>12.5</v>
      </c>
    </row>
    <row r="320" spans="1:4" x14ac:dyDescent="0.2">
      <c r="A320">
        <v>319</v>
      </c>
      <c r="B320">
        <v>0</v>
      </c>
      <c r="C320">
        <f t="shared" si="11"/>
        <v>1049</v>
      </c>
      <c r="D320" s="2">
        <f t="shared" si="12"/>
        <v>12.5</v>
      </c>
    </row>
    <row r="321" spans="1:4" x14ac:dyDescent="0.2">
      <c r="A321">
        <v>320</v>
      </c>
      <c r="B321">
        <v>0</v>
      </c>
      <c r="C321">
        <f t="shared" si="11"/>
        <v>1050</v>
      </c>
      <c r="D321" s="2">
        <f t="shared" si="12"/>
        <v>12.5</v>
      </c>
    </row>
    <row r="322" spans="1:4" x14ac:dyDescent="0.2">
      <c r="A322">
        <v>321</v>
      </c>
      <c r="B322">
        <v>0</v>
      </c>
      <c r="C322">
        <f t="shared" si="11"/>
        <v>1051</v>
      </c>
      <c r="D322" s="2">
        <f t="shared" si="12"/>
        <v>12.5</v>
      </c>
    </row>
    <row r="323" spans="1:4" x14ac:dyDescent="0.2">
      <c r="A323">
        <v>322</v>
      </c>
      <c r="B323">
        <v>0</v>
      </c>
      <c r="C323">
        <f t="shared" ref="C323:C386" si="13">A323+730</f>
        <v>1052</v>
      </c>
      <c r="D323" s="2">
        <f t="shared" ref="D323:D386" si="14">$I$8</f>
        <v>12.5</v>
      </c>
    </row>
    <row r="324" spans="1:4" x14ac:dyDescent="0.2">
      <c r="A324">
        <v>323</v>
      </c>
      <c r="B324">
        <v>0</v>
      </c>
      <c r="C324">
        <f t="shared" si="13"/>
        <v>1053</v>
      </c>
      <c r="D324" s="2">
        <f t="shared" si="14"/>
        <v>12.5</v>
      </c>
    </row>
    <row r="325" spans="1:4" x14ac:dyDescent="0.2">
      <c r="A325">
        <v>324</v>
      </c>
      <c r="B325">
        <v>0</v>
      </c>
      <c r="C325">
        <f t="shared" si="13"/>
        <v>1054</v>
      </c>
      <c r="D325" s="2">
        <f t="shared" si="14"/>
        <v>12.5</v>
      </c>
    </row>
    <row r="326" spans="1:4" x14ac:dyDescent="0.2">
      <c r="A326">
        <v>325</v>
      </c>
      <c r="B326">
        <v>0</v>
      </c>
      <c r="C326">
        <f t="shared" si="13"/>
        <v>1055</v>
      </c>
      <c r="D326" s="2">
        <f t="shared" si="14"/>
        <v>12.5</v>
      </c>
    </row>
    <row r="327" spans="1:4" x14ac:dyDescent="0.2">
      <c r="A327">
        <v>326</v>
      </c>
      <c r="B327">
        <v>0</v>
      </c>
      <c r="C327">
        <f t="shared" si="13"/>
        <v>1056</v>
      </c>
      <c r="D327" s="2">
        <f t="shared" si="14"/>
        <v>12.5</v>
      </c>
    </row>
    <row r="328" spans="1:4" x14ac:dyDescent="0.2">
      <c r="A328">
        <v>327</v>
      </c>
      <c r="B328">
        <v>0</v>
      </c>
      <c r="C328">
        <f t="shared" si="13"/>
        <v>1057</v>
      </c>
      <c r="D328" s="2">
        <f t="shared" si="14"/>
        <v>12.5</v>
      </c>
    </row>
    <row r="329" spans="1:4" x14ac:dyDescent="0.2">
      <c r="A329">
        <v>328</v>
      </c>
      <c r="B329">
        <v>0</v>
      </c>
      <c r="C329">
        <f t="shared" si="13"/>
        <v>1058</v>
      </c>
      <c r="D329" s="2">
        <f t="shared" si="14"/>
        <v>12.5</v>
      </c>
    </row>
    <row r="330" spans="1:4" x14ac:dyDescent="0.2">
      <c r="A330">
        <v>329</v>
      </c>
      <c r="B330">
        <v>0</v>
      </c>
      <c r="C330">
        <f t="shared" si="13"/>
        <v>1059</v>
      </c>
      <c r="D330" s="2">
        <f t="shared" si="14"/>
        <v>12.5</v>
      </c>
    </row>
    <row r="331" spans="1:4" x14ac:dyDescent="0.2">
      <c r="A331">
        <v>330</v>
      </c>
      <c r="B331">
        <v>0</v>
      </c>
      <c r="C331">
        <f t="shared" si="13"/>
        <v>1060</v>
      </c>
      <c r="D331" s="2">
        <f t="shared" si="14"/>
        <v>12.5</v>
      </c>
    </row>
    <row r="332" spans="1:4" x14ac:dyDescent="0.2">
      <c r="A332">
        <v>331</v>
      </c>
      <c r="B332">
        <v>0</v>
      </c>
      <c r="C332">
        <f t="shared" si="13"/>
        <v>1061</v>
      </c>
      <c r="D332" s="2">
        <f t="shared" si="14"/>
        <v>12.5</v>
      </c>
    </row>
    <row r="333" spans="1:4" x14ac:dyDescent="0.2">
      <c r="A333">
        <v>332</v>
      </c>
      <c r="B333">
        <v>0</v>
      </c>
      <c r="C333">
        <f t="shared" si="13"/>
        <v>1062</v>
      </c>
      <c r="D333" s="2">
        <f t="shared" si="14"/>
        <v>12.5</v>
      </c>
    </row>
    <row r="334" spans="1:4" x14ac:dyDescent="0.2">
      <c r="A334">
        <v>333</v>
      </c>
      <c r="B334">
        <v>0</v>
      </c>
      <c r="C334">
        <f t="shared" si="13"/>
        <v>1063</v>
      </c>
      <c r="D334" s="2">
        <f t="shared" si="14"/>
        <v>12.5</v>
      </c>
    </row>
    <row r="335" spans="1:4" x14ac:dyDescent="0.2">
      <c r="A335">
        <v>334</v>
      </c>
      <c r="B335">
        <v>0</v>
      </c>
      <c r="C335">
        <f t="shared" si="13"/>
        <v>1064</v>
      </c>
      <c r="D335" s="2">
        <f t="shared" si="14"/>
        <v>12.5</v>
      </c>
    </row>
    <row r="336" spans="1:4" x14ac:dyDescent="0.2">
      <c r="A336">
        <v>335</v>
      </c>
      <c r="B336">
        <v>0</v>
      </c>
      <c r="C336">
        <f t="shared" si="13"/>
        <v>1065</v>
      </c>
      <c r="D336" s="2">
        <f t="shared" si="14"/>
        <v>12.5</v>
      </c>
    </row>
    <row r="337" spans="1:4" x14ac:dyDescent="0.2">
      <c r="A337">
        <v>336</v>
      </c>
      <c r="B337">
        <v>0</v>
      </c>
      <c r="C337">
        <f t="shared" si="13"/>
        <v>1066</v>
      </c>
      <c r="D337" s="2">
        <f t="shared" si="14"/>
        <v>12.5</v>
      </c>
    </row>
    <row r="338" spans="1:4" x14ac:dyDescent="0.2">
      <c r="A338">
        <v>337</v>
      </c>
      <c r="B338">
        <v>0</v>
      </c>
      <c r="C338">
        <f t="shared" si="13"/>
        <v>1067</v>
      </c>
      <c r="D338" s="2">
        <f t="shared" si="14"/>
        <v>12.5</v>
      </c>
    </row>
    <row r="339" spans="1:4" x14ac:dyDescent="0.2">
      <c r="A339">
        <v>338</v>
      </c>
      <c r="B339">
        <v>0</v>
      </c>
      <c r="C339">
        <f t="shared" si="13"/>
        <v>1068</v>
      </c>
      <c r="D339" s="2">
        <f t="shared" si="14"/>
        <v>12.5</v>
      </c>
    </row>
    <row r="340" spans="1:4" x14ac:dyDescent="0.2">
      <c r="A340">
        <v>339</v>
      </c>
      <c r="B340">
        <v>0</v>
      </c>
      <c r="C340">
        <f t="shared" si="13"/>
        <v>1069</v>
      </c>
      <c r="D340" s="2">
        <f t="shared" si="14"/>
        <v>12.5</v>
      </c>
    </row>
    <row r="341" spans="1:4" x14ac:dyDescent="0.2">
      <c r="A341">
        <v>340</v>
      </c>
      <c r="B341">
        <v>0</v>
      </c>
      <c r="C341">
        <f t="shared" si="13"/>
        <v>1070</v>
      </c>
      <c r="D341" s="2">
        <f t="shared" si="14"/>
        <v>12.5</v>
      </c>
    </row>
    <row r="342" spans="1:4" x14ac:dyDescent="0.2">
      <c r="A342">
        <v>341</v>
      </c>
      <c r="B342">
        <v>0</v>
      </c>
      <c r="C342">
        <f t="shared" si="13"/>
        <v>1071</v>
      </c>
      <c r="D342" s="2">
        <f t="shared" si="14"/>
        <v>12.5</v>
      </c>
    </row>
    <row r="343" spans="1:4" x14ac:dyDescent="0.2">
      <c r="A343">
        <v>342</v>
      </c>
      <c r="B343">
        <v>0</v>
      </c>
      <c r="C343">
        <f t="shared" si="13"/>
        <v>1072</v>
      </c>
      <c r="D343" s="2">
        <f t="shared" si="14"/>
        <v>12.5</v>
      </c>
    </row>
    <row r="344" spans="1:4" x14ac:dyDescent="0.2">
      <c r="A344">
        <v>343</v>
      </c>
      <c r="B344">
        <v>0</v>
      </c>
      <c r="C344">
        <f t="shared" si="13"/>
        <v>1073</v>
      </c>
      <c r="D344" s="2">
        <f t="shared" si="14"/>
        <v>12.5</v>
      </c>
    </row>
    <row r="345" spans="1:4" x14ac:dyDescent="0.2">
      <c r="A345">
        <v>344</v>
      </c>
      <c r="B345">
        <v>0</v>
      </c>
      <c r="C345">
        <f t="shared" si="13"/>
        <v>1074</v>
      </c>
      <c r="D345" s="2">
        <f t="shared" si="14"/>
        <v>12.5</v>
      </c>
    </row>
    <row r="346" spans="1:4" x14ac:dyDescent="0.2">
      <c r="A346">
        <v>345</v>
      </c>
      <c r="B346">
        <v>0</v>
      </c>
      <c r="C346">
        <f t="shared" si="13"/>
        <v>1075</v>
      </c>
      <c r="D346" s="2">
        <f t="shared" si="14"/>
        <v>12.5</v>
      </c>
    </row>
    <row r="347" spans="1:4" x14ac:dyDescent="0.2">
      <c r="A347">
        <v>346</v>
      </c>
      <c r="B347">
        <v>0</v>
      </c>
      <c r="C347">
        <f t="shared" si="13"/>
        <v>1076</v>
      </c>
      <c r="D347" s="2">
        <f t="shared" si="14"/>
        <v>12.5</v>
      </c>
    </row>
    <row r="348" spans="1:4" x14ac:dyDescent="0.2">
      <c r="A348">
        <v>347</v>
      </c>
      <c r="B348">
        <v>0</v>
      </c>
      <c r="C348">
        <f t="shared" si="13"/>
        <v>1077</v>
      </c>
      <c r="D348" s="2">
        <f t="shared" si="14"/>
        <v>12.5</v>
      </c>
    </row>
    <row r="349" spans="1:4" x14ac:dyDescent="0.2">
      <c r="A349">
        <v>348</v>
      </c>
      <c r="B349">
        <v>0</v>
      </c>
      <c r="C349">
        <f t="shared" si="13"/>
        <v>1078</v>
      </c>
      <c r="D349" s="2">
        <f t="shared" si="14"/>
        <v>12.5</v>
      </c>
    </row>
    <row r="350" spans="1:4" x14ac:dyDescent="0.2">
      <c r="A350">
        <v>349</v>
      </c>
      <c r="B350">
        <v>0</v>
      </c>
      <c r="C350">
        <f t="shared" si="13"/>
        <v>1079</v>
      </c>
      <c r="D350" s="2">
        <f t="shared" si="14"/>
        <v>12.5</v>
      </c>
    </row>
    <row r="351" spans="1:4" x14ac:dyDescent="0.2">
      <c r="A351">
        <v>350</v>
      </c>
      <c r="B351">
        <v>0</v>
      </c>
      <c r="C351">
        <f t="shared" si="13"/>
        <v>1080</v>
      </c>
      <c r="D351" s="2">
        <f t="shared" si="14"/>
        <v>12.5</v>
      </c>
    </row>
    <row r="352" spans="1:4" x14ac:dyDescent="0.2">
      <c r="A352">
        <v>351</v>
      </c>
      <c r="B352">
        <v>0</v>
      </c>
      <c r="C352">
        <f t="shared" si="13"/>
        <v>1081</v>
      </c>
      <c r="D352" s="2">
        <f t="shared" si="14"/>
        <v>12.5</v>
      </c>
    </row>
    <row r="353" spans="1:4" x14ac:dyDescent="0.2">
      <c r="A353">
        <v>352</v>
      </c>
      <c r="B353">
        <v>0</v>
      </c>
      <c r="C353">
        <f t="shared" si="13"/>
        <v>1082</v>
      </c>
      <c r="D353" s="2">
        <f t="shared" si="14"/>
        <v>12.5</v>
      </c>
    </row>
    <row r="354" spans="1:4" x14ac:dyDescent="0.2">
      <c r="A354">
        <v>353</v>
      </c>
      <c r="B354">
        <v>0</v>
      </c>
      <c r="C354">
        <f t="shared" si="13"/>
        <v>1083</v>
      </c>
      <c r="D354" s="2">
        <f t="shared" si="14"/>
        <v>12.5</v>
      </c>
    </row>
    <row r="355" spans="1:4" x14ac:dyDescent="0.2">
      <c r="A355">
        <v>354</v>
      </c>
      <c r="B355">
        <v>0</v>
      </c>
      <c r="C355">
        <f t="shared" si="13"/>
        <v>1084</v>
      </c>
      <c r="D355" s="2">
        <f t="shared" si="14"/>
        <v>12.5</v>
      </c>
    </row>
    <row r="356" spans="1:4" x14ac:dyDescent="0.2">
      <c r="A356">
        <v>355</v>
      </c>
      <c r="B356">
        <v>0</v>
      </c>
      <c r="C356">
        <f t="shared" si="13"/>
        <v>1085</v>
      </c>
      <c r="D356" s="2">
        <f t="shared" si="14"/>
        <v>12.5</v>
      </c>
    </row>
    <row r="357" spans="1:4" x14ac:dyDescent="0.2">
      <c r="A357">
        <v>356</v>
      </c>
      <c r="B357">
        <v>0</v>
      </c>
      <c r="C357">
        <f t="shared" si="13"/>
        <v>1086</v>
      </c>
      <c r="D357" s="2">
        <f t="shared" si="14"/>
        <v>12.5</v>
      </c>
    </row>
    <row r="358" spans="1:4" x14ac:dyDescent="0.2">
      <c r="A358">
        <v>357</v>
      </c>
      <c r="B358">
        <v>0</v>
      </c>
      <c r="C358">
        <f t="shared" si="13"/>
        <v>1087</v>
      </c>
      <c r="D358" s="2">
        <f t="shared" si="14"/>
        <v>12.5</v>
      </c>
    </row>
    <row r="359" spans="1:4" x14ac:dyDescent="0.2">
      <c r="A359">
        <v>358</v>
      </c>
      <c r="B359">
        <v>0</v>
      </c>
      <c r="C359">
        <f t="shared" si="13"/>
        <v>1088</v>
      </c>
      <c r="D359" s="2">
        <f t="shared" si="14"/>
        <v>12.5</v>
      </c>
    </row>
    <row r="360" spans="1:4" x14ac:dyDescent="0.2">
      <c r="A360">
        <v>359</v>
      </c>
      <c r="B360">
        <v>0</v>
      </c>
      <c r="C360">
        <f t="shared" si="13"/>
        <v>1089</v>
      </c>
      <c r="D360" s="2">
        <f t="shared" si="14"/>
        <v>12.5</v>
      </c>
    </row>
    <row r="361" spans="1:4" x14ac:dyDescent="0.2">
      <c r="A361">
        <v>360</v>
      </c>
      <c r="B361">
        <v>0</v>
      </c>
      <c r="C361">
        <f t="shared" si="13"/>
        <v>1090</v>
      </c>
      <c r="D361" s="2">
        <f t="shared" si="14"/>
        <v>12.5</v>
      </c>
    </row>
    <row r="362" spans="1:4" x14ac:dyDescent="0.2">
      <c r="A362">
        <v>361</v>
      </c>
      <c r="B362">
        <v>0</v>
      </c>
      <c r="C362">
        <f t="shared" si="13"/>
        <v>1091</v>
      </c>
      <c r="D362" s="2">
        <f t="shared" si="14"/>
        <v>12.5</v>
      </c>
    </row>
    <row r="363" spans="1:4" x14ac:dyDescent="0.2">
      <c r="A363">
        <v>362</v>
      </c>
      <c r="B363">
        <v>0</v>
      </c>
      <c r="C363">
        <f t="shared" si="13"/>
        <v>1092</v>
      </c>
      <c r="D363" s="2">
        <f t="shared" si="14"/>
        <v>12.5</v>
      </c>
    </row>
    <row r="364" spans="1:4" x14ac:dyDescent="0.2">
      <c r="A364">
        <v>363</v>
      </c>
      <c r="B364">
        <v>0</v>
      </c>
      <c r="C364">
        <f t="shared" si="13"/>
        <v>1093</v>
      </c>
      <c r="D364" s="2">
        <f t="shared" si="14"/>
        <v>12.5</v>
      </c>
    </row>
    <row r="365" spans="1:4" x14ac:dyDescent="0.2">
      <c r="A365">
        <v>364</v>
      </c>
      <c r="B365">
        <v>0</v>
      </c>
      <c r="C365">
        <f t="shared" si="13"/>
        <v>1094</v>
      </c>
      <c r="D365" s="2">
        <f t="shared" si="14"/>
        <v>12.5</v>
      </c>
    </row>
    <row r="366" spans="1:4" x14ac:dyDescent="0.2">
      <c r="A366">
        <v>365</v>
      </c>
      <c r="B366">
        <v>0</v>
      </c>
      <c r="C366">
        <f t="shared" si="13"/>
        <v>1095</v>
      </c>
      <c r="D366" s="2">
        <f t="shared" si="14"/>
        <v>12.5</v>
      </c>
    </row>
    <row r="367" spans="1:4" x14ac:dyDescent="0.2">
      <c r="A367">
        <v>366</v>
      </c>
      <c r="B367">
        <v>0</v>
      </c>
      <c r="C367">
        <f t="shared" si="13"/>
        <v>1096</v>
      </c>
      <c r="D367" s="2">
        <f t="shared" si="14"/>
        <v>12.5</v>
      </c>
    </row>
    <row r="368" spans="1:4" x14ac:dyDescent="0.2">
      <c r="A368">
        <v>367</v>
      </c>
      <c r="B368">
        <v>0</v>
      </c>
      <c r="C368">
        <f t="shared" si="13"/>
        <v>1097</v>
      </c>
      <c r="D368" s="2">
        <f t="shared" si="14"/>
        <v>12.5</v>
      </c>
    </row>
    <row r="369" spans="1:4" x14ac:dyDescent="0.2">
      <c r="A369">
        <v>368</v>
      </c>
      <c r="B369">
        <v>0</v>
      </c>
      <c r="C369">
        <f t="shared" si="13"/>
        <v>1098</v>
      </c>
      <c r="D369" s="2">
        <f t="shared" si="14"/>
        <v>12.5</v>
      </c>
    </row>
    <row r="370" spans="1:4" x14ac:dyDescent="0.2">
      <c r="A370">
        <v>369</v>
      </c>
      <c r="B370">
        <v>0</v>
      </c>
      <c r="C370">
        <f t="shared" si="13"/>
        <v>1099</v>
      </c>
      <c r="D370" s="2">
        <f t="shared" si="14"/>
        <v>12.5</v>
      </c>
    </row>
    <row r="371" spans="1:4" x14ac:dyDescent="0.2">
      <c r="A371">
        <v>370</v>
      </c>
      <c r="B371">
        <v>0</v>
      </c>
      <c r="C371">
        <f t="shared" si="13"/>
        <v>1100</v>
      </c>
      <c r="D371" s="2">
        <f t="shared" si="14"/>
        <v>12.5</v>
      </c>
    </row>
    <row r="372" spans="1:4" x14ac:dyDescent="0.2">
      <c r="A372">
        <v>371</v>
      </c>
      <c r="B372">
        <v>0</v>
      </c>
      <c r="C372">
        <f t="shared" si="13"/>
        <v>1101</v>
      </c>
      <c r="D372" s="2">
        <f t="shared" si="14"/>
        <v>12.5</v>
      </c>
    </row>
    <row r="373" spans="1:4" x14ac:dyDescent="0.2">
      <c r="A373">
        <v>372</v>
      </c>
      <c r="B373">
        <v>0</v>
      </c>
      <c r="C373">
        <f t="shared" si="13"/>
        <v>1102</v>
      </c>
      <c r="D373" s="2">
        <f t="shared" si="14"/>
        <v>12.5</v>
      </c>
    </row>
    <row r="374" spans="1:4" x14ac:dyDescent="0.2">
      <c r="A374">
        <v>373</v>
      </c>
      <c r="B374">
        <v>0</v>
      </c>
      <c r="C374">
        <f t="shared" si="13"/>
        <v>1103</v>
      </c>
      <c r="D374" s="2">
        <f t="shared" si="14"/>
        <v>12.5</v>
      </c>
    </row>
    <row r="375" spans="1:4" x14ac:dyDescent="0.2">
      <c r="A375">
        <v>374</v>
      </c>
      <c r="B375">
        <v>0</v>
      </c>
      <c r="C375">
        <f t="shared" si="13"/>
        <v>1104</v>
      </c>
      <c r="D375" s="2">
        <f t="shared" si="14"/>
        <v>12.5</v>
      </c>
    </row>
    <row r="376" spans="1:4" x14ac:dyDescent="0.2">
      <c r="A376">
        <v>375</v>
      </c>
      <c r="B376">
        <v>0</v>
      </c>
      <c r="C376">
        <f t="shared" si="13"/>
        <v>1105</v>
      </c>
      <c r="D376" s="2">
        <f t="shared" si="14"/>
        <v>12.5</v>
      </c>
    </row>
    <row r="377" spans="1:4" x14ac:dyDescent="0.2">
      <c r="A377">
        <v>376</v>
      </c>
      <c r="B377">
        <v>0</v>
      </c>
      <c r="C377">
        <f t="shared" si="13"/>
        <v>1106</v>
      </c>
      <c r="D377" s="2">
        <f t="shared" si="14"/>
        <v>12.5</v>
      </c>
    </row>
    <row r="378" spans="1:4" x14ac:dyDescent="0.2">
      <c r="A378">
        <v>377</v>
      </c>
      <c r="B378">
        <v>0</v>
      </c>
      <c r="C378">
        <f t="shared" si="13"/>
        <v>1107</v>
      </c>
      <c r="D378" s="2">
        <f t="shared" si="14"/>
        <v>12.5</v>
      </c>
    </row>
    <row r="379" spans="1:4" x14ac:dyDescent="0.2">
      <c r="A379">
        <v>378</v>
      </c>
      <c r="B379">
        <v>0</v>
      </c>
      <c r="C379">
        <f t="shared" si="13"/>
        <v>1108</v>
      </c>
      <c r="D379" s="2">
        <f t="shared" si="14"/>
        <v>12.5</v>
      </c>
    </row>
    <row r="380" spans="1:4" x14ac:dyDescent="0.2">
      <c r="A380">
        <v>379</v>
      </c>
      <c r="B380">
        <v>0</v>
      </c>
      <c r="C380">
        <f t="shared" si="13"/>
        <v>1109</v>
      </c>
      <c r="D380" s="2">
        <f t="shared" si="14"/>
        <v>12.5</v>
      </c>
    </row>
    <row r="381" spans="1:4" x14ac:dyDescent="0.2">
      <c r="A381">
        <v>380</v>
      </c>
      <c r="B381">
        <v>0</v>
      </c>
      <c r="C381">
        <f t="shared" si="13"/>
        <v>1110</v>
      </c>
      <c r="D381" s="2">
        <f t="shared" si="14"/>
        <v>12.5</v>
      </c>
    </row>
    <row r="382" spans="1:4" x14ac:dyDescent="0.2">
      <c r="A382">
        <v>381</v>
      </c>
      <c r="B382">
        <v>0</v>
      </c>
      <c r="C382">
        <f t="shared" si="13"/>
        <v>1111</v>
      </c>
      <c r="D382" s="2">
        <f t="shared" si="14"/>
        <v>12.5</v>
      </c>
    </row>
    <row r="383" spans="1:4" x14ac:dyDescent="0.2">
      <c r="A383">
        <v>382</v>
      </c>
      <c r="B383">
        <v>0</v>
      </c>
      <c r="C383">
        <f t="shared" si="13"/>
        <v>1112</v>
      </c>
      <c r="D383" s="2">
        <f t="shared" si="14"/>
        <v>12.5</v>
      </c>
    </row>
    <row r="384" spans="1:4" x14ac:dyDescent="0.2">
      <c r="A384">
        <v>383</v>
      </c>
      <c r="B384">
        <v>0</v>
      </c>
      <c r="C384">
        <f t="shared" si="13"/>
        <v>1113</v>
      </c>
      <c r="D384" s="2">
        <f t="shared" si="14"/>
        <v>12.5</v>
      </c>
    </row>
    <row r="385" spans="1:4" x14ac:dyDescent="0.2">
      <c r="A385">
        <v>384</v>
      </c>
      <c r="B385">
        <v>0</v>
      </c>
      <c r="C385">
        <f t="shared" si="13"/>
        <v>1114</v>
      </c>
      <c r="D385" s="2">
        <f t="shared" si="14"/>
        <v>12.5</v>
      </c>
    </row>
    <row r="386" spans="1:4" x14ac:dyDescent="0.2">
      <c r="A386">
        <v>385</v>
      </c>
      <c r="B386">
        <v>0</v>
      </c>
      <c r="C386">
        <f t="shared" si="13"/>
        <v>1115</v>
      </c>
      <c r="D386" s="2">
        <f t="shared" si="14"/>
        <v>12.5</v>
      </c>
    </row>
    <row r="387" spans="1:4" x14ac:dyDescent="0.2">
      <c r="A387">
        <v>386</v>
      </c>
      <c r="B387">
        <v>0</v>
      </c>
      <c r="C387">
        <f t="shared" ref="C387:C450" si="15">A387+730</f>
        <v>1116</v>
      </c>
      <c r="D387" s="2">
        <f t="shared" ref="D387:D450" si="16">$I$8</f>
        <v>12.5</v>
      </c>
    </row>
    <row r="388" spans="1:4" x14ac:dyDescent="0.2">
      <c r="A388">
        <v>387</v>
      </c>
      <c r="B388">
        <v>0</v>
      </c>
      <c r="C388">
        <f t="shared" si="15"/>
        <v>1117</v>
      </c>
      <c r="D388" s="2">
        <f t="shared" si="16"/>
        <v>12.5</v>
      </c>
    </row>
    <row r="389" spans="1:4" x14ac:dyDescent="0.2">
      <c r="A389">
        <v>388</v>
      </c>
      <c r="B389">
        <v>0</v>
      </c>
      <c r="C389">
        <f t="shared" si="15"/>
        <v>1118</v>
      </c>
      <c r="D389" s="2">
        <f t="shared" si="16"/>
        <v>12.5</v>
      </c>
    </row>
    <row r="390" spans="1:4" x14ac:dyDescent="0.2">
      <c r="A390">
        <v>389</v>
      </c>
      <c r="B390">
        <v>0</v>
      </c>
      <c r="C390">
        <f t="shared" si="15"/>
        <v>1119</v>
      </c>
      <c r="D390" s="2">
        <f t="shared" si="16"/>
        <v>12.5</v>
      </c>
    </row>
    <row r="391" spans="1:4" x14ac:dyDescent="0.2">
      <c r="A391">
        <v>390</v>
      </c>
      <c r="B391">
        <v>0</v>
      </c>
      <c r="C391">
        <f t="shared" si="15"/>
        <v>1120</v>
      </c>
      <c r="D391" s="2">
        <f t="shared" si="16"/>
        <v>12.5</v>
      </c>
    </row>
    <row r="392" spans="1:4" x14ac:dyDescent="0.2">
      <c r="A392">
        <v>391</v>
      </c>
      <c r="B392">
        <v>0</v>
      </c>
      <c r="C392">
        <f t="shared" si="15"/>
        <v>1121</v>
      </c>
      <c r="D392" s="2">
        <f t="shared" si="16"/>
        <v>12.5</v>
      </c>
    </row>
    <row r="393" spans="1:4" x14ac:dyDescent="0.2">
      <c r="A393">
        <v>392</v>
      </c>
      <c r="B393">
        <v>0</v>
      </c>
      <c r="C393">
        <f t="shared" si="15"/>
        <v>1122</v>
      </c>
      <c r="D393" s="2">
        <f t="shared" si="16"/>
        <v>12.5</v>
      </c>
    </row>
    <row r="394" spans="1:4" x14ac:dyDescent="0.2">
      <c r="A394">
        <v>393</v>
      </c>
      <c r="B394">
        <v>0</v>
      </c>
      <c r="C394">
        <f t="shared" si="15"/>
        <v>1123</v>
      </c>
      <c r="D394" s="2">
        <f t="shared" si="16"/>
        <v>12.5</v>
      </c>
    </row>
    <row r="395" spans="1:4" x14ac:dyDescent="0.2">
      <c r="A395">
        <v>394</v>
      </c>
      <c r="B395">
        <v>0</v>
      </c>
      <c r="C395">
        <f t="shared" si="15"/>
        <v>1124</v>
      </c>
      <c r="D395" s="2">
        <f t="shared" si="16"/>
        <v>12.5</v>
      </c>
    </row>
    <row r="396" spans="1:4" x14ac:dyDescent="0.2">
      <c r="A396">
        <v>395</v>
      </c>
      <c r="B396">
        <v>0</v>
      </c>
      <c r="C396">
        <f t="shared" si="15"/>
        <v>1125</v>
      </c>
      <c r="D396" s="2">
        <f t="shared" si="16"/>
        <v>12.5</v>
      </c>
    </row>
    <row r="397" spans="1:4" x14ac:dyDescent="0.2">
      <c r="A397">
        <v>396</v>
      </c>
      <c r="B397">
        <v>0</v>
      </c>
      <c r="C397">
        <f t="shared" si="15"/>
        <v>1126</v>
      </c>
      <c r="D397" s="2">
        <f t="shared" si="16"/>
        <v>12.5</v>
      </c>
    </row>
    <row r="398" spans="1:4" x14ac:dyDescent="0.2">
      <c r="A398">
        <v>397</v>
      </c>
      <c r="B398">
        <v>0</v>
      </c>
      <c r="C398">
        <f t="shared" si="15"/>
        <v>1127</v>
      </c>
      <c r="D398" s="2">
        <f t="shared" si="16"/>
        <v>12.5</v>
      </c>
    </row>
    <row r="399" spans="1:4" x14ac:dyDescent="0.2">
      <c r="A399">
        <v>398</v>
      </c>
      <c r="B399">
        <v>0</v>
      </c>
      <c r="C399">
        <f t="shared" si="15"/>
        <v>1128</v>
      </c>
      <c r="D399" s="2">
        <f t="shared" si="16"/>
        <v>12.5</v>
      </c>
    </row>
    <row r="400" spans="1:4" x14ac:dyDescent="0.2">
      <c r="A400">
        <v>399</v>
      </c>
      <c r="B400">
        <v>0</v>
      </c>
      <c r="C400">
        <f t="shared" si="15"/>
        <v>1129</v>
      </c>
      <c r="D400" s="2">
        <f t="shared" si="16"/>
        <v>12.5</v>
      </c>
    </row>
    <row r="401" spans="1:4" x14ac:dyDescent="0.2">
      <c r="A401">
        <v>400</v>
      </c>
      <c r="B401">
        <v>0</v>
      </c>
      <c r="C401">
        <f t="shared" si="15"/>
        <v>1130</v>
      </c>
      <c r="D401" s="2">
        <f t="shared" si="16"/>
        <v>12.5</v>
      </c>
    </row>
    <row r="402" spans="1:4" x14ac:dyDescent="0.2">
      <c r="A402">
        <v>401</v>
      </c>
      <c r="B402">
        <v>0</v>
      </c>
      <c r="C402">
        <f t="shared" si="15"/>
        <v>1131</v>
      </c>
      <c r="D402" s="2">
        <f t="shared" si="16"/>
        <v>12.5</v>
      </c>
    </row>
    <row r="403" spans="1:4" x14ac:dyDescent="0.2">
      <c r="A403">
        <v>402</v>
      </c>
      <c r="B403">
        <v>0</v>
      </c>
      <c r="C403">
        <f t="shared" si="15"/>
        <v>1132</v>
      </c>
      <c r="D403" s="2">
        <f t="shared" si="16"/>
        <v>12.5</v>
      </c>
    </row>
    <row r="404" spans="1:4" x14ac:dyDescent="0.2">
      <c r="A404">
        <v>403</v>
      </c>
      <c r="B404">
        <v>0</v>
      </c>
      <c r="C404">
        <f t="shared" si="15"/>
        <v>1133</v>
      </c>
      <c r="D404" s="2">
        <f t="shared" si="16"/>
        <v>12.5</v>
      </c>
    </row>
    <row r="405" spans="1:4" x14ac:dyDescent="0.2">
      <c r="A405">
        <v>404</v>
      </c>
      <c r="B405">
        <v>0</v>
      </c>
      <c r="C405">
        <f t="shared" si="15"/>
        <v>1134</v>
      </c>
      <c r="D405" s="2">
        <f t="shared" si="16"/>
        <v>12.5</v>
      </c>
    </row>
    <row r="406" spans="1:4" x14ac:dyDescent="0.2">
      <c r="A406">
        <v>405</v>
      </c>
      <c r="B406">
        <v>0</v>
      </c>
      <c r="C406">
        <f t="shared" si="15"/>
        <v>1135</v>
      </c>
      <c r="D406" s="2">
        <f t="shared" si="16"/>
        <v>12.5</v>
      </c>
    </row>
    <row r="407" spans="1:4" x14ac:dyDescent="0.2">
      <c r="A407">
        <v>406</v>
      </c>
      <c r="B407">
        <v>0</v>
      </c>
      <c r="C407">
        <f t="shared" si="15"/>
        <v>1136</v>
      </c>
      <c r="D407" s="2">
        <f t="shared" si="16"/>
        <v>12.5</v>
      </c>
    </row>
    <row r="408" spans="1:4" x14ac:dyDescent="0.2">
      <c r="A408">
        <v>407</v>
      </c>
      <c r="B408">
        <v>0</v>
      </c>
      <c r="C408">
        <f t="shared" si="15"/>
        <v>1137</v>
      </c>
      <c r="D408" s="2">
        <f t="shared" si="16"/>
        <v>12.5</v>
      </c>
    </row>
    <row r="409" spans="1:4" x14ac:dyDescent="0.2">
      <c r="A409">
        <v>408</v>
      </c>
      <c r="B409">
        <v>0</v>
      </c>
      <c r="C409">
        <f t="shared" si="15"/>
        <v>1138</v>
      </c>
      <c r="D409" s="2">
        <f t="shared" si="16"/>
        <v>12.5</v>
      </c>
    </row>
    <row r="410" spans="1:4" x14ac:dyDescent="0.2">
      <c r="A410">
        <v>409</v>
      </c>
      <c r="B410">
        <v>0</v>
      </c>
      <c r="C410">
        <f t="shared" si="15"/>
        <v>1139</v>
      </c>
      <c r="D410" s="2">
        <f t="shared" si="16"/>
        <v>12.5</v>
      </c>
    </row>
    <row r="411" spans="1:4" x14ac:dyDescent="0.2">
      <c r="A411">
        <v>410</v>
      </c>
      <c r="B411">
        <v>0</v>
      </c>
      <c r="C411">
        <f t="shared" si="15"/>
        <v>1140</v>
      </c>
      <c r="D411" s="2">
        <f t="shared" si="16"/>
        <v>12.5</v>
      </c>
    </row>
    <row r="412" spans="1:4" x14ac:dyDescent="0.2">
      <c r="A412">
        <v>411</v>
      </c>
      <c r="B412">
        <v>0</v>
      </c>
      <c r="C412">
        <f t="shared" si="15"/>
        <v>1141</v>
      </c>
      <c r="D412" s="2">
        <f t="shared" si="16"/>
        <v>12.5</v>
      </c>
    </row>
    <row r="413" spans="1:4" x14ac:dyDescent="0.2">
      <c r="A413">
        <v>412</v>
      </c>
      <c r="B413">
        <v>0</v>
      </c>
      <c r="C413">
        <f t="shared" si="15"/>
        <v>1142</v>
      </c>
      <c r="D413" s="2">
        <f t="shared" si="16"/>
        <v>12.5</v>
      </c>
    </row>
    <row r="414" spans="1:4" x14ac:dyDescent="0.2">
      <c r="A414">
        <v>413</v>
      </c>
      <c r="B414">
        <v>0</v>
      </c>
      <c r="C414">
        <f t="shared" si="15"/>
        <v>1143</v>
      </c>
      <c r="D414" s="2">
        <f t="shared" si="16"/>
        <v>12.5</v>
      </c>
    </row>
    <row r="415" spans="1:4" x14ac:dyDescent="0.2">
      <c r="A415">
        <v>414</v>
      </c>
      <c r="B415">
        <v>0</v>
      </c>
      <c r="C415">
        <f t="shared" si="15"/>
        <v>1144</v>
      </c>
      <c r="D415" s="2">
        <f t="shared" si="16"/>
        <v>12.5</v>
      </c>
    </row>
    <row r="416" spans="1:4" x14ac:dyDescent="0.2">
      <c r="A416">
        <v>415</v>
      </c>
      <c r="B416">
        <v>0</v>
      </c>
      <c r="C416">
        <f t="shared" si="15"/>
        <v>1145</v>
      </c>
      <c r="D416" s="2">
        <f t="shared" si="16"/>
        <v>12.5</v>
      </c>
    </row>
    <row r="417" spans="1:4" x14ac:dyDescent="0.2">
      <c r="A417">
        <v>416</v>
      </c>
      <c r="B417">
        <v>0</v>
      </c>
      <c r="C417">
        <f t="shared" si="15"/>
        <v>1146</v>
      </c>
      <c r="D417" s="2">
        <f t="shared" si="16"/>
        <v>12.5</v>
      </c>
    </row>
    <row r="418" spans="1:4" x14ac:dyDescent="0.2">
      <c r="A418">
        <v>417</v>
      </c>
      <c r="B418">
        <v>0</v>
      </c>
      <c r="C418">
        <f t="shared" si="15"/>
        <v>1147</v>
      </c>
      <c r="D418" s="2">
        <f t="shared" si="16"/>
        <v>12.5</v>
      </c>
    </row>
    <row r="419" spans="1:4" x14ac:dyDescent="0.2">
      <c r="A419">
        <v>418</v>
      </c>
      <c r="B419">
        <v>0</v>
      </c>
      <c r="C419">
        <f t="shared" si="15"/>
        <v>1148</v>
      </c>
      <c r="D419" s="2">
        <f t="shared" si="16"/>
        <v>12.5</v>
      </c>
    </row>
    <row r="420" spans="1:4" x14ac:dyDescent="0.2">
      <c r="A420">
        <v>419</v>
      </c>
      <c r="B420">
        <v>0</v>
      </c>
      <c r="C420">
        <f t="shared" si="15"/>
        <v>1149</v>
      </c>
      <c r="D420" s="2">
        <f t="shared" si="16"/>
        <v>12.5</v>
      </c>
    </row>
    <row r="421" spans="1:4" x14ac:dyDescent="0.2">
      <c r="A421">
        <v>420</v>
      </c>
      <c r="B421">
        <v>0</v>
      </c>
      <c r="C421">
        <f t="shared" si="15"/>
        <v>1150</v>
      </c>
      <c r="D421" s="2">
        <f t="shared" si="16"/>
        <v>12.5</v>
      </c>
    </row>
    <row r="422" spans="1:4" x14ac:dyDescent="0.2">
      <c r="A422">
        <v>421</v>
      </c>
      <c r="B422">
        <v>0</v>
      </c>
      <c r="C422">
        <f t="shared" si="15"/>
        <v>1151</v>
      </c>
      <c r="D422" s="2">
        <f t="shared" si="16"/>
        <v>12.5</v>
      </c>
    </row>
    <row r="423" spans="1:4" x14ac:dyDescent="0.2">
      <c r="A423">
        <v>422</v>
      </c>
      <c r="B423">
        <v>0</v>
      </c>
      <c r="C423">
        <f t="shared" si="15"/>
        <v>1152</v>
      </c>
      <c r="D423" s="2">
        <f t="shared" si="16"/>
        <v>12.5</v>
      </c>
    </row>
    <row r="424" spans="1:4" x14ac:dyDescent="0.2">
      <c r="A424">
        <v>423</v>
      </c>
      <c r="B424">
        <v>0</v>
      </c>
      <c r="C424">
        <f t="shared" si="15"/>
        <v>1153</v>
      </c>
      <c r="D424" s="2">
        <f t="shared" si="16"/>
        <v>12.5</v>
      </c>
    </row>
    <row r="425" spans="1:4" x14ac:dyDescent="0.2">
      <c r="A425">
        <v>424</v>
      </c>
      <c r="B425">
        <v>0</v>
      </c>
      <c r="C425">
        <f t="shared" si="15"/>
        <v>1154</v>
      </c>
      <c r="D425" s="2">
        <f t="shared" si="16"/>
        <v>12.5</v>
      </c>
    </row>
    <row r="426" spans="1:4" x14ac:dyDescent="0.2">
      <c r="A426">
        <v>425</v>
      </c>
      <c r="B426">
        <v>0</v>
      </c>
      <c r="C426">
        <f t="shared" si="15"/>
        <v>1155</v>
      </c>
      <c r="D426" s="2">
        <f t="shared" si="16"/>
        <v>12.5</v>
      </c>
    </row>
    <row r="427" spans="1:4" x14ac:dyDescent="0.2">
      <c r="A427">
        <v>426</v>
      </c>
      <c r="B427">
        <v>0</v>
      </c>
      <c r="C427">
        <f t="shared" si="15"/>
        <v>1156</v>
      </c>
      <c r="D427" s="2">
        <f t="shared" si="16"/>
        <v>12.5</v>
      </c>
    </row>
    <row r="428" spans="1:4" x14ac:dyDescent="0.2">
      <c r="A428">
        <v>427</v>
      </c>
      <c r="B428">
        <v>0</v>
      </c>
      <c r="C428">
        <f t="shared" si="15"/>
        <v>1157</v>
      </c>
      <c r="D428" s="2">
        <f t="shared" si="16"/>
        <v>12.5</v>
      </c>
    </row>
    <row r="429" spans="1:4" x14ac:dyDescent="0.2">
      <c r="A429">
        <v>428</v>
      </c>
      <c r="B429">
        <v>0</v>
      </c>
      <c r="C429">
        <f t="shared" si="15"/>
        <v>1158</v>
      </c>
      <c r="D429" s="2">
        <f t="shared" si="16"/>
        <v>12.5</v>
      </c>
    </row>
    <row r="430" spans="1:4" x14ac:dyDescent="0.2">
      <c r="A430">
        <v>429</v>
      </c>
      <c r="B430">
        <v>0</v>
      </c>
      <c r="C430">
        <f t="shared" si="15"/>
        <v>1159</v>
      </c>
      <c r="D430" s="2">
        <f t="shared" si="16"/>
        <v>12.5</v>
      </c>
    </row>
    <row r="431" spans="1:4" x14ac:dyDescent="0.2">
      <c r="A431">
        <v>430</v>
      </c>
      <c r="B431">
        <v>0</v>
      </c>
      <c r="C431">
        <f t="shared" si="15"/>
        <v>1160</v>
      </c>
      <c r="D431" s="2">
        <f t="shared" si="16"/>
        <v>12.5</v>
      </c>
    </row>
    <row r="432" spans="1:4" x14ac:dyDescent="0.2">
      <c r="A432">
        <v>431</v>
      </c>
      <c r="B432">
        <v>0</v>
      </c>
      <c r="C432">
        <f t="shared" si="15"/>
        <v>1161</v>
      </c>
      <c r="D432" s="2">
        <f t="shared" si="16"/>
        <v>12.5</v>
      </c>
    </row>
    <row r="433" spans="1:4" x14ac:dyDescent="0.2">
      <c r="A433">
        <v>432</v>
      </c>
      <c r="B433">
        <v>0</v>
      </c>
      <c r="C433">
        <f t="shared" si="15"/>
        <v>1162</v>
      </c>
      <c r="D433" s="2">
        <f t="shared" si="16"/>
        <v>12.5</v>
      </c>
    </row>
    <row r="434" spans="1:4" x14ac:dyDescent="0.2">
      <c r="A434">
        <v>433</v>
      </c>
      <c r="B434">
        <v>0</v>
      </c>
      <c r="C434">
        <f t="shared" si="15"/>
        <v>1163</v>
      </c>
      <c r="D434" s="2">
        <f t="shared" si="16"/>
        <v>12.5</v>
      </c>
    </row>
    <row r="435" spans="1:4" x14ac:dyDescent="0.2">
      <c r="A435">
        <v>434</v>
      </c>
      <c r="B435">
        <v>0</v>
      </c>
      <c r="C435">
        <f t="shared" si="15"/>
        <v>1164</v>
      </c>
      <c r="D435" s="2">
        <f t="shared" si="16"/>
        <v>12.5</v>
      </c>
    </row>
    <row r="436" spans="1:4" x14ac:dyDescent="0.2">
      <c r="A436">
        <v>435</v>
      </c>
      <c r="B436">
        <v>0</v>
      </c>
      <c r="C436">
        <f t="shared" si="15"/>
        <v>1165</v>
      </c>
      <c r="D436" s="2">
        <f t="shared" si="16"/>
        <v>12.5</v>
      </c>
    </row>
    <row r="437" spans="1:4" x14ac:dyDescent="0.2">
      <c r="A437">
        <v>436</v>
      </c>
      <c r="B437">
        <v>0</v>
      </c>
      <c r="C437">
        <f t="shared" si="15"/>
        <v>1166</v>
      </c>
      <c r="D437" s="2">
        <f t="shared" si="16"/>
        <v>12.5</v>
      </c>
    </row>
    <row r="438" spans="1:4" x14ac:dyDescent="0.2">
      <c r="A438">
        <v>437</v>
      </c>
      <c r="B438">
        <v>0</v>
      </c>
      <c r="C438">
        <f t="shared" si="15"/>
        <v>1167</v>
      </c>
      <c r="D438" s="2">
        <f t="shared" si="16"/>
        <v>12.5</v>
      </c>
    </row>
    <row r="439" spans="1:4" x14ac:dyDescent="0.2">
      <c r="A439">
        <v>438</v>
      </c>
      <c r="B439">
        <v>0</v>
      </c>
      <c r="C439">
        <f t="shared" si="15"/>
        <v>1168</v>
      </c>
      <c r="D439" s="2">
        <f t="shared" si="16"/>
        <v>12.5</v>
      </c>
    </row>
    <row r="440" spans="1:4" x14ac:dyDescent="0.2">
      <c r="A440">
        <v>439</v>
      </c>
      <c r="B440">
        <v>0</v>
      </c>
      <c r="C440">
        <f t="shared" si="15"/>
        <v>1169</v>
      </c>
      <c r="D440" s="2">
        <f t="shared" si="16"/>
        <v>12.5</v>
      </c>
    </row>
    <row r="441" spans="1:4" x14ac:dyDescent="0.2">
      <c r="A441">
        <v>440</v>
      </c>
      <c r="B441">
        <v>0</v>
      </c>
      <c r="C441">
        <f t="shared" si="15"/>
        <v>1170</v>
      </c>
      <c r="D441" s="2">
        <f t="shared" si="16"/>
        <v>12.5</v>
      </c>
    </row>
    <row r="442" spans="1:4" x14ac:dyDescent="0.2">
      <c r="A442">
        <v>441</v>
      </c>
      <c r="B442">
        <v>0</v>
      </c>
      <c r="C442">
        <f t="shared" si="15"/>
        <v>1171</v>
      </c>
      <c r="D442" s="2">
        <f t="shared" si="16"/>
        <v>12.5</v>
      </c>
    </row>
    <row r="443" spans="1:4" x14ac:dyDescent="0.2">
      <c r="A443">
        <v>442</v>
      </c>
      <c r="B443">
        <v>0</v>
      </c>
      <c r="C443">
        <f t="shared" si="15"/>
        <v>1172</v>
      </c>
      <c r="D443" s="2">
        <f t="shared" si="16"/>
        <v>12.5</v>
      </c>
    </row>
    <row r="444" spans="1:4" x14ac:dyDescent="0.2">
      <c r="A444">
        <v>443</v>
      </c>
      <c r="B444">
        <v>0</v>
      </c>
      <c r="C444">
        <f t="shared" si="15"/>
        <v>1173</v>
      </c>
      <c r="D444" s="2">
        <f t="shared" si="16"/>
        <v>12.5</v>
      </c>
    </row>
    <row r="445" spans="1:4" x14ac:dyDescent="0.2">
      <c r="A445">
        <v>444</v>
      </c>
      <c r="B445">
        <v>0</v>
      </c>
      <c r="C445">
        <f t="shared" si="15"/>
        <v>1174</v>
      </c>
      <c r="D445" s="2">
        <f t="shared" si="16"/>
        <v>12.5</v>
      </c>
    </row>
    <row r="446" spans="1:4" x14ac:dyDescent="0.2">
      <c r="A446">
        <v>445</v>
      </c>
      <c r="B446">
        <v>0</v>
      </c>
      <c r="C446">
        <f t="shared" si="15"/>
        <v>1175</v>
      </c>
      <c r="D446" s="2">
        <f t="shared" si="16"/>
        <v>12.5</v>
      </c>
    </row>
    <row r="447" spans="1:4" x14ac:dyDescent="0.2">
      <c r="A447">
        <v>446</v>
      </c>
      <c r="B447">
        <v>0</v>
      </c>
      <c r="C447">
        <f t="shared" si="15"/>
        <v>1176</v>
      </c>
      <c r="D447" s="2">
        <f t="shared" si="16"/>
        <v>12.5</v>
      </c>
    </row>
    <row r="448" spans="1:4" x14ac:dyDescent="0.2">
      <c r="A448">
        <v>447</v>
      </c>
      <c r="B448">
        <v>0</v>
      </c>
      <c r="C448">
        <f t="shared" si="15"/>
        <v>1177</v>
      </c>
      <c r="D448" s="2">
        <f t="shared" si="16"/>
        <v>12.5</v>
      </c>
    </row>
    <row r="449" spans="1:4" x14ac:dyDescent="0.2">
      <c r="A449">
        <v>448</v>
      </c>
      <c r="B449">
        <v>0</v>
      </c>
      <c r="C449">
        <f t="shared" si="15"/>
        <v>1178</v>
      </c>
      <c r="D449" s="2">
        <f t="shared" si="16"/>
        <v>12.5</v>
      </c>
    </row>
    <row r="450" spans="1:4" x14ac:dyDescent="0.2">
      <c r="A450">
        <v>449</v>
      </c>
      <c r="B450">
        <v>0</v>
      </c>
      <c r="C450">
        <f t="shared" si="15"/>
        <v>1179</v>
      </c>
      <c r="D450" s="2">
        <f t="shared" si="16"/>
        <v>12.5</v>
      </c>
    </row>
    <row r="451" spans="1:4" x14ac:dyDescent="0.2">
      <c r="A451">
        <v>450</v>
      </c>
      <c r="B451">
        <v>0</v>
      </c>
      <c r="C451">
        <f t="shared" ref="C451:C514" si="17">A451+730</f>
        <v>1180</v>
      </c>
      <c r="D451" s="2">
        <f t="shared" ref="D451:D514" si="18">$I$8</f>
        <v>12.5</v>
      </c>
    </row>
    <row r="452" spans="1:4" x14ac:dyDescent="0.2">
      <c r="A452">
        <v>451</v>
      </c>
      <c r="B452">
        <v>0</v>
      </c>
      <c r="C452">
        <f t="shared" si="17"/>
        <v>1181</v>
      </c>
      <c r="D452" s="2">
        <f t="shared" si="18"/>
        <v>12.5</v>
      </c>
    </row>
    <row r="453" spans="1:4" x14ac:dyDescent="0.2">
      <c r="A453">
        <v>452</v>
      </c>
      <c r="B453">
        <v>0</v>
      </c>
      <c r="C453">
        <f t="shared" si="17"/>
        <v>1182</v>
      </c>
      <c r="D453" s="2">
        <f t="shared" si="18"/>
        <v>12.5</v>
      </c>
    </row>
    <row r="454" spans="1:4" x14ac:dyDescent="0.2">
      <c r="A454">
        <v>453</v>
      </c>
      <c r="B454">
        <v>0</v>
      </c>
      <c r="C454">
        <f t="shared" si="17"/>
        <v>1183</v>
      </c>
      <c r="D454" s="2">
        <f t="shared" si="18"/>
        <v>12.5</v>
      </c>
    </row>
    <row r="455" spans="1:4" x14ac:dyDescent="0.2">
      <c r="A455">
        <v>454</v>
      </c>
      <c r="B455">
        <v>0</v>
      </c>
      <c r="C455">
        <f t="shared" si="17"/>
        <v>1184</v>
      </c>
      <c r="D455" s="2">
        <f t="shared" si="18"/>
        <v>12.5</v>
      </c>
    </row>
    <row r="456" spans="1:4" x14ac:dyDescent="0.2">
      <c r="A456">
        <v>455</v>
      </c>
      <c r="B456">
        <v>0</v>
      </c>
      <c r="C456">
        <f t="shared" si="17"/>
        <v>1185</v>
      </c>
      <c r="D456" s="2">
        <f t="shared" si="18"/>
        <v>12.5</v>
      </c>
    </row>
    <row r="457" spans="1:4" x14ac:dyDescent="0.2">
      <c r="A457">
        <v>456</v>
      </c>
      <c r="B457">
        <v>0</v>
      </c>
      <c r="C457">
        <f t="shared" si="17"/>
        <v>1186</v>
      </c>
      <c r="D457" s="2">
        <f t="shared" si="18"/>
        <v>12.5</v>
      </c>
    </row>
    <row r="458" spans="1:4" x14ac:dyDescent="0.2">
      <c r="A458">
        <v>457</v>
      </c>
      <c r="B458">
        <v>0</v>
      </c>
      <c r="C458">
        <f t="shared" si="17"/>
        <v>1187</v>
      </c>
      <c r="D458" s="2">
        <f t="shared" si="18"/>
        <v>12.5</v>
      </c>
    </row>
    <row r="459" spans="1:4" x14ac:dyDescent="0.2">
      <c r="A459">
        <v>458</v>
      </c>
      <c r="B459">
        <v>0</v>
      </c>
      <c r="C459">
        <f t="shared" si="17"/>
        <v>1188</v>
      </c>
      <c r="D459" s="2">
        <f t="shared" si="18"/>
        <v>12.5</v>
      </c>
    </row>
    <row r="460" spans="1:4" x14ac:dyDescent="0.2">
      <c r="A460">
        <v>459</v>
      </c>
      <c r="B460">
        <v>0</v>
      </c>
      <c r="C460">
        <f t="shared" si="17"/>
        <v>1189</v>
      </c>
      <c r="D460" s="2">
        <f t="shared" si="18"/>
        <v>12.5</v>
      </c>
    </row>
    <row r="461" spans="1:4" x14ac:dyDescent="0.2">
      <c r="A461">
        <v>460</v>
      </c>
      <c r="B461">
        <v>0</v>
      </c>
      <c r="C461">
        <f t="shared" si="17"/>
        <v>1190</v>
      </c>
      <c r="D461" s="2">
        <f t="shared" si="18"/>
        <v>12.5</v>
      </c>
    </row>
    <row r="462" spans="1:4" x14ac:dyDescent="0.2">
      <c r="A462">
        <v>461</v>
      </c>
      <c r="B462">
        <v>0</v>
      </c>
      <c r="C462">
        <f t="shared" si="17"/>
        <v>1191</v>
      </c>
      <c r="D462" s="2">
        <f t="shared" si="18"/>
        <v>12.5</v>
      </c>
    </row>
    <row r="463" spans="1:4" x14ac:dyDescent="0.2">
      <c r="A463">
        <v>462</v>
      </c>
      <c r="B463">
        <v>0</v>
      </c>
      <c r="C463">
        <f t="shared" si="17"/>
        <v>1192</v>
      </c>
      <c r="D463" s="2">
        <f t="shared" si="18"/>
        <v>12.5</v>
      </c>
    </row>
    <row r="464" spans="1:4" x14ac:dyDescent="0.2">
      <c r="A464">
        <v>463</v>
      </c>
      <c r="B464">
        <v>0</v>
      </c>
      <c r="C464">
        <f t="shared" si="17"/>
        <v>1193</v>
      </c>
      <c r="D464" s="2">
        <f t="shared" si="18"/>
        <v>12.5</v>
      </c>
    </row>
    <row r="465" spans="1:4" x14ac:dyDescent="0.2">
      <c r="A465">
        <v>464</v>
      </c>
      <c r="B465">
        <v>0</v>
      </c>
      <c r="C465">
        <f t="shared" si="17"/>
        <v>1194</v>
      </c>
      <c r="D465" s="2">
        <f t="shared" si="18"/>
        <v>12.5</v>
      </c>
    </row>
    <row r="466" spans="1:4" x14ac:dyDescent="0.2">
      <c r="A466">
        <v>465</v>
      </c>
      <c r="B466">
        <v>0</v>
      </c>
      <c r="C466">
        <f t="shared" si="17"/>
        <v>1195</v>
      </c>
      <c r="D466" s="2">
        <f t="shared" si="18"/>
        <v>12.5</v>
      </c>
    </row>
    <row r="467" spans="1:4" x14ac:dyDescent="0.2">
      <c r="A467">
        <v>466</v>
      </c>
      <c r="B467">
        <v>0</v>
      </c>
      <c r="C467">
        <f t="shared" si="17"/>
        <v>1196</v>
      </c>
      <c r="D467" s="2">
        <f t="shared" si="18"/>
        <v>12.5</v>
      </c>
    </row>
    <row r="468" spans="1:4" x14ac:dyDescent="0.2">
      <c r="A468">
        <v>467</v>
      </c>
      <c r="B468">
        <v>0</v>
      </c>
      <c r="C468">
        <f t="shared" si="17"/>
        <v>1197</v>
      </c>
      <c r="D468" s="2">
        <f t="shared" si="18"/>
        <v>12.5</v>
      </c>
    </row>
    <row r="469" spans="1:4" x14ac:dyDescent="0.2">
      <c r="A469">
        <v>468</v>
      </c>
      <c r="B469">
        <v>0</v>
      </c>
      <c r="C469">
        <f t="shared" si="17"/>
        <v>1198</v>
      </c>
      <c r="D469" s="2">
        <f t="shared" si="18"/>
        <v>12.5</v>
      </c>
    </row>
    <row r="470" spans="1:4" x14ac:dyDescent="0.2">
      <c r="A470">
        <v>469</v>
      </c>
      <c r="B470">
        <v>0</v>
      </c>
      <c r="C470">
        <f t="shared" si="17"/>
        <v>1199</v>
      </c>
      <c r="D470" s="2">
        <f t="shared" si="18"/>
        <v>12.5</v>
      </c>
    </row>
    <row r="471" spans="1:4" x14ac:dyDescent="0.2">
      <c r="A471">
        <v>470</v>
      </c>
      <c r="B471">
        <v>0</v>
      </c>
      <c r="C471">
        <f t="shared" si="17"/>
        <v>1200</v>
      </c>
      <c r="D471" s="2">
        <f t="shared" si="18"/>
        <v>12.5</v>
      </c>
    </row>
    <row r="472" spans="1:4" x14ac:dyDescent="0.2">
      <c r="A472">
        <v>471</v>
      </c>
      <c r="B472">
        <v>0</v>
      </c>
      <c r="C472">
        <f t="shared" si="17"/>
        <v>1201</v>
      </c>
      <c r="D472" s="2">
        <f t="shared" si="18"/>
        <v>12.5</v>
      </c>
    </row>
    <row r="473" spans="1:4" x14ac:dyDescent="0.2">
      <c r="A473">
        <v>472</v>
      </c>
      <c r="B473">
        <v>0</v>
      </c>
      <c r="C473">
        <f t="shared" si="17"/>
        <v>1202</v>
      </c>
      <c r="D473" s="2">
        <f t="shared" si="18"/>
        <v>12.5</v>
      </c>
    </row>
    <row r="474" spans="1:4" x14ac:dyDescent="0.2">
      <c r="A474">
        <v>473</v>
      </c>
      <c r="B474">
        <v>0</v>
      </c>
      <c r="C474">
        <f t="shared" si="17"/>
        <v>1203</v>
      </c>
      <c r="D474" s="2">
        <f t="shared" si="18"/>
        <v>12.5</v>
      </c>
    </row>
    <row r="475" spans="1:4" x14ac:dyDescent="0.2">
      <c r="A475">
        <v>474</v>
      </c>
      <c r="B475">
        <v>0</v>
      </c>
      <c r="C475">
        <f t="shared" si="17"/>
        <v>1204</v>
      </c>
      <c r="D475" s="2">
        <f t="shared" si="18"/>
        <v>12.5</v>
      </c>
    </row>
    <row r="476" spans="1:4" x14ac:dyDescent="0.2">
      <c r="A476">
        <v>475</v>
      </c>
      <c r="B476">
        <v>0</v>
      </c>
      <c r="C476">
        <f t="shared" si="17"/>
        <v>1205</v>
      </c>
      <c r="D476" s="2">
        <f t="shared" si="18"/>
        <v>12.5</v>
      </c>
    </row>
    <row r="477" spans="1:4" x14ac:dyDescent="0.2">
      <c r="A477">
        <v>476</v>
      </c>
      <c r="B477">
        <v>0</v>
      </c>
      <c r="C477">
        <f t="shared" si="17"/>
        <v>1206</v>
      </c>
      <c r="D477" s="2">
        <f t="shared" si="18"/>
        <v>12.5</v>
      </c>
    </row>
    <row r="478" spans="1:4" x14ac:dyDescent="0.2">
      <c r="A478">
        <v>477</v>
      </c>
      <c r="B478">
        <v>0</v>
      </c>
      <c r="C478">
        <f t="shared" si="17"/>
        <v>1207</v>
      </c>
      <c r="D478" s="2">
        <f t="shared" si="18"/>
        <v>12.5</v>
      </c>
    </row>
    <row r="479" spans="1:4" x14ac:dyDescent="0.2">
      <c r="A479">
        <v>478</v>
      </c>
      <c r="B479">
        <v>0</v>
      </c>
      <c r="C479">
        <f t="shared" si="17"/>
        <v>1208</v>
      </c>
      <c r="D479" s="2">
        <f t="shared" si="18"/>
        <v>12.5</v>
      </c>
    </row>
    <row r="480" spans="1:4" x14ac:dyDescent="0.2">
      <c r="A480">
        <v>479</v>
      </c>
      <c r="B480">
        <v>0</v>
      </c>
      <c r="C480">
        <f t="shared" si="17"/>
        <v>1209</v>
      </c>
      <c r="D480" s="2">
        <f t="shared" si="18"/>
        <v>12.5</v>
      </c>
    </row>
    <row r="481" spans="1:4" x14ac:dyDescent="0.2">
      <c r="A481">
        <v>480</v>
      </c>
      <c r="B481">
        <v>0</v>
      </c>
      <c r="C481">
        <f t="shared" si="17"/>
        <v>1210</v>
      </c>
      <c r="D481" s="2">
        <f t="shared" si="18"/>
        <v>12.5</v>
      </c>
    </row>
    <row r="482" spans="1:4" x14ac:dyDescent="0.2">
      <c r="A482">
        <v>481</v>
      </c>
      <c r="B482">
        <v>0</v>
      </c>
      <c r="C482">
        <f t="shared" si="17"/>
        <v>1211</v>
      </c>
      <c r="D482" s="2">
        <f t="shared" si="18"/>
        <v>12.5</v>
      </c>
    </row>
    <row r="483" spans="1:4" x14ac:dyDescent="0.2">
      <c r="A483">
        <v>482</v>
      </c>
      <c r="B483">
        <v>0</v>
      </c>
      <c r="C483">
        <f t="shared" si="17"/>
        <v>1212</v>
      </c>
      <c r="D483" s="2">
        <f t="shared" si="18"/>
        <v>12.5</v>
      </c>
    </row>
    <row r="484" spans="1:4" x14ac:dyDescent="0.2">
      <c r="A484">
        <v>483</v>
      </c>
      <c r="B484">
        <v>0</v>
      </c>
      <c r="C484">
        <f t="shared" si="17"/>
        <v>1213</v>
      </c>
      <c r="D484" s="2">
        <f t="shared" si="18"/>
        <v>12.5</v>
      </c>
    </row>
    <row r="485" spans="1:4" x14ac:dyDescent="0.2">
      <c r="A485">
        <v>484</v>
      </c>
      <c r="B485">
        <v>0</v>
      </c>
      <c r="C485">
        <f t="shared" si="17"/>
        <v>1214</v>
      </c>
      <c r="D485" s="2">
        <f t="shared" si="18"/>
        <v>12.5</v>
      </c>
    </row>
    <row r="486" spans="1:4" x14ac:dyDescent="0.2">
      <c r="A486">
        <v>485</v>
      </c>
      <c r="B486">
        <v>0</v>
      </c>
      <c r="C486">
        <f t="shared" si="17"/>
        <v>1215</v>
      </c>
      <c r="D486" s="2">
        <f t="shared" si="18"/>
        <v>12.5</v>
      </c>
    </row>
    <row r="487" spans="1:4" x14ac:dyDescent="0.2">
      <c r="A487">
        <v>486</v>
      </c>
      <c r="B487">
        <v>0</v>
      </c>
      <c r="C487">
        <f t="shared" si="17"/>
        <v>1216</v>
      </c>
      <c r="D487" s="2">
        <f t="shared" si="18"/>
        <v>12.5</v>
      </c>
    </row>
    <row r="488" spans="1:4" x14ac:dyDescent="0.2">
      <c r="A488">
        <v>487</v>
      </c>
      <c r="B488">
        <v>0</v>
      </c>
      <c r="C488">
        <f t="shared" si="17"/>
        <v>1217</v>
      </c>
      <c r="D488" s="2">
        <f t="shared" si="18"/>
        <v>12.5</v>
      </c>
    </row>
    <row r="489" spans="1:4" x14ac:dyDescent="0.2">
      <c r="A489">
        <v>488</v>
      </c>
      <c r="B489">
        <v>0</v>
      </c>
      <c r="C489">
        <f t="shared" si="17"/>
        <v>1218</v>
      </c>
      <c r="D489" s="2">
        <f t="shared" si="18"/>
        <v>12.5</v>
      </c>
    </row>
    <row r="490" spans="1:4" x14ac:dyDescent="0.2">
      <c r="A490">
        <v>489</v>
      </c>
      <c r="B490">
        <v>0</v>
      </c>
      <c r="C490">
        <f t="shared" si="17"/>
        <v>1219</v>
      </c>
      <c r="D490" s="2">
        <f t="shared" si="18"/>
        <v>12.5</v>
      </c>
    </row>
    <row r="491" spans="1:4" x14ac:dyDescent="0.2">
      <c r="A491">
        <v>490</v>
      </c>
      <c r="B491">
        <v>0</v>
      </c>
      <c r="C491">
        <f t="shared" si="17"/>
        <v>1220</v>
      </c>
      <c r="D491" s="2">
        <f t="shared" si="18"/>
        <v>12.5</v>
      </c>
    </row>
    <row r="492" spans="1:4" x14ac:dyDescent="0.2">
      <c r="A492">
        <v>491</v>
      </c>
      <c r="B492">
        <v>0</v>
      </c>
      <c r="C492">
        <f t="shared" si="17"/>
        <v>1221</v>
      </c>
      <c r="D492" s="2">
        <f t="shared" si="18"/>
        <v>12.5</v>
      </c>
    </row>
    <row r="493" spans="1:4" x14ac:dyDescent="0.2">
      <c r="A493">
        <v>492</v>
      </c>
      <c r="B493">
        <v>0</v>
      </c>
      <c r="C493">
        <f t="shared" si="17"/>
        <v>1222</v>
      </c>
      <c r="D493" s="2">
        <f t="shared" si="18"/>
        <v>12.5</v>
      </c>
    </row>
    <row r="494" spans="1:4" x14ac:dyDescent="0.2">
      <c r="A494">
        <v>493</v>
      </c>
      <c r="B494">
        <v>0</v>
      </c>
      <c r="C494">
        <f t="shared" si="17"/>
        <v>1223</v>
      </c>
      <c r="D494" s="2">
        <f t="shared" si="18"/>
        <v>12.5</v>
      </c>
    </row>
    <row r="495" spans="1:4" x14ac:dyDescent="0.2">
      <c r="A495">
        <v>494</v>
      </c>
      <c r="B495">
        <v>0</v>
      </c>
      <c r="C495">
        <f t="shared" si="17"/>
        <v>1224</v>
      </c>
      <c r="D495" s="2">
        <f t="shared" si="18"/>
        <v>12.5</v>
      </c>
    </row>
    <row r="496" spans="1:4" x14ac:dyDescent="0.2">
      <c r="A496">
        <v>495</v>
      </c>
      <c r="B496">
        <v>0</v>
      </c>
      <c r="C496">
        <f t="shared" si="17"/>
        <v>1225</v>
      </c>
      <c r="D496" s="2">
        <f t="shared" si="18"/>
        <v>12.5</v>
      </c>
    </row>
    <row r="497" spans="1:4" x14ac:dyDescent="0.2">
      <c r="A497">
        <v>496</v>
      </c>
      <c r="B497">
        <v>0</v>
      </c>
      <c r="C497">
        <f t="shared" si="17"/>
        <v>1226</v>
      </c>
      <c r="D497" s="2">
        <f t="shared" si="18"/>
        <v>12.5</v>
      </c>
    </row>
    <row r="498" spans="1:4" x14ac:dyDescent="0.2">
      <c r="A498">
        <v>497</v>
      </c>
      <c r="B498">
        <v>0</v>
      </c>
      <c r="C498">
        <f t="shared" si="17"/>
        <v>1227</v>
      </c>
      <c r="D498" s="2">
        <f t="shared" si="18"/>
        <v>12.5</v>
      </c>
    </row>
    <row r="499" spans="1:4" x14ac:dyDescent="0.2">
      <c r="A499">
        <v>498</v>
      </c>
      <c r="B499">
        <v>0</v>
      </c>
      <c r="C499">
        <f t="shared" si="17"/>
        <v>1228</v>
      </c>
      <c r="D499" s="2">
        <f t="shared" si="18"/>
        <v>12.5</v>
      </c>
    </row>
    <row r="500" spans="1:4" x14ac:dyDescent="0.2">
      <c r="A500">
        <v>499</v>
      </c>
      <c r="B500">
        <v>0</v>
      </c>
      <c r="C500">
        <f t="shared" si="17"/>
        <v>1229</v>
      </c>
      <c r="D500" s="2">
        <f t="shared" si="18"/>
        <v>12.5</v>
      </c>
    </row>
    <row r="501" spans="1:4" x14ac:dyDescent="0.2">
      <c r="A501">
        <v>500</v>
      </c>
      <c r="B501">
        <v>0</v>
      </c>
      <c r="C501">
        <f t="shared" si="17"/>
        <v>1230</v>
      </c>
      <c r="D501" s="2">
        <f t="shared" si="18"/>
        <v>12.5</v>
      </c>
    </row>
    <row r="502" spans="1:4" x14ac:dyDescent="0.2">
      <c r="A502">
        <v>501</v>
      </c>
      <c r="B502">
        <v>0</v>
      </c>
      <c r="C502">
        <f t="shared" si="17"/>
        <v>1231</v>
      </c>
      <c r="D502" s="2">
        <f t="shared" si="18"/>
        <v>12.5</v>
      </c>
    </row>
    <row r="503" spans="1:4" x14ac:dyDescent="0.2">
      <c r="A503">
        <v>502</v>
      </c>
      <c r="B503">
        <v>0</v>
      </c>
      <c r="C503">
        <f t="shared" si="17"/>
        <v>1232</v>
      </c>
      <c r="D503" s="2">
        <f t="shared" si="18"/>
        <v>12.5</v>
      </c>
    </row>
    <row r="504" spans="1:4" x14ac:dyDescent="0.2">
      <c r="A504">
        <v>503</v>
      </c>
      <c r="B504">
        <v>0</v>
      </c>
      <c r="C504">
        <f t="shared" si="17"/>
        <v>1233</v>
      </c>
      <c r="D504" s="2">
        <f t="shared" si="18"/>
        <v>12.5</v>
      </c>
    </row>
    <row r="505" spans="1:4" x14ac:dyDescent="0.2">
      <c r="A505">
        <v>504</v>
      </c>
      <c r="B505">
        <v>0</v>
      </c>
      <c r="C505">
        <f t="shared" si="17"/>
        <v>1234</v>
      </c>
      <c r="D505" s="2">
        <f t="shared" si="18"/>
        <v>12.5</v>
      </c>
    </row>
    <row r="506" spans="1:4" x14ac:dyDescent="0.2">
      <c r="A506">
        <v>505</v>
      </c>
      <c r="B506">
        <v>0</v>
      </c>
      <c r="C506">
        <f t="shared" si="17"/>
        <v>1235</v>
      </c>
      <c r="D506" s="2">
        <f t="shared" si="18"/>
        <v>12.5</v>
      </c>
    </row>
    <row r="507" spans="1:4" x14ac:dyDescent="0.2">
      <c r="A507">
        <v>506</v>
      </c>
      <c r="B507">
        <v>0</v>
      </c>
      <c r="C507">
        <f t="shared" si="17"/>
        <v>1236</v>
      </c>
      <c r="D507" s="2">
        <f t="shared" si="18"/>
        <v>12.5</v>
      </c>
    </row>
    <row r="508" spans="1:4" x14ac:dyDescent="0.2">
      <c r="A508">
        <v>507</v>
      </c>
      <c r="B508">
        <v>0</v>
      </c>
      <c r="C508">
        <f t="shared" si="17"/>
        <v>1237</v>
      </c>
      <c r="D508" s="2">
        <f t="shared" si="18"/>
        <v>12.5</v>
      </c>
    </row>
    <row r="509" spans="1:4" x14ac:dyDescent="0.2">
      <c r="A509">
        <v>508</v>
      </c>
      <c r="B509">
        <v>0</v>
      </c>
      <c r="C509">
        <f t="shared" si="17"/>
        <v>1238</v>
      </c>
      <c r="D509" s="2">
        <f t="shared" si="18"/>
        <v>12.5</v>
      </c>
    </row>
    <row r="510" spans="1:4" x14ac:dyDescent="0.2">
      <c r="A510">
        <v>509</v>
      </c>
      <c r="B510">
        <v>0</v>
      </c>
      <c r="C510">
        <f t="shared" si="17"/>
        <v>1239</v>
      </c>
      <c r="D510" s="2">
        <f t="shared" si="18"/>
        <v>12.5</v>
      </c>
    </row>
    <row r="511" spans="1:4" x14ac:dyDescent="0.2">
      <c r="A511">
        <v>510</v>
      </c>
      <c r="B511">
        <v>0</v>
      </c>
      <c r="C511">
        <f t="shared" si="17"/>
        <v>1240</v>
      </c>
      <c r="D511" s="2">
        <f t="shared" si="18"/>
        <v>12.5</v>
      </c>
    </row>
    <row r="512" spans="1:4" x14ac:dyDescent="0.2">
      <c r="A512">
        <v>511</v>
      </c>
      <c r="B512">
        <v>0</v>
      </c>
      <c r="C512">
        <f t="shared" si="17"/>
        <v>1241</v>
      </c>
      <c r="D512" s="2">
        <f t="shared" si="18"/>
        <v>12.5</v>
      </c>
    </row>
    <row r="513" spans="1:4" x14ac:dyDescent="0.2">
      <c r="A513">
        <v>512</v>
      </c>
      <c r="B513">
        <v>0</v>
      </c>
      <c r="C513">
        <f t="shared" si="17"/>
        <v>1242</v>
      </c>
      <c r="D513" s="2">
        <f t="shared" si="18"/>
        <v>12.5</v>
      </c>
    </row>
    <row r="514" spans="1:4" x14ac:dyDescent="0.2">
      <c r="A514">
        <v>513</v>
      </c>
      <c r="B514">
        <v>0</v>
      </c>
      <c r="C514">
        <f t="shared" si="17"/>
        <v>1243</v>
      </c>
      <c r="D514" s="2">
        <f t="shared" si="18"/>
        <v>12.5</v>
      </c>
    </row>
    <row r="515" spans="1:4" x14ac:dyDescent="0.2">
      <c r="A515">
        <v>514</v>
      </c>
      <c r="B515">
        <v>0</v>
      </c>
      <c r="C515">
        <f t="shared" ref="C515:C578" si="19">A515+730</f>
        <v>1244</v>
      </c>
      <c r="D515" s="2">
        <f t="shared" ref="D515:D578" si="20">$I$8</f>
        <v>12.5</v>
      </c>
    </row>
    <row r="516" spans="1:4" x14ac:dyDescent="0.2">
      <c r="A516">
        <v>515</v>
      </c>
      <c r="B516">
        <v>0</v>
      </c>
      <c r="C516">
        <f t="shared" si="19"/>
        <v>1245</v>
      </c>
      <c r="D516" s="2">
        <f t="shared" si="20"/>
        <v>12.5</v>
      </c>
    </row>
    <row r="517" spans="1:4" x14ac:dyDescent="0.2">
      <c r="A517">
        <v>516</v>
      </c>
      <c r="B517">
        <v>0</v>
      </c>
      <c r="C517">
        <f t="shared" si="19"/>
        <v>1246</v>
      </c>
      <c r="D517" s="2">
        <f t="shared" si="20"/>
        <v>12.5</v>
      </c>
    </row>
    <row r="518" spans="1:4" x14ac:dyDescent="0.2">
      <c r="A518">
        <v>517</v>
      </c>
      <c r="B518">
        <v>0</v>
      </c>
      <c r="C518">
        <f t="shared" si="19"/>
        <v>1247</v>
      </c>
      <c r="D518" s="2">
        <f t="shared" si="20"/>
        <v>12.5</v>
      </c>
    </row>
    <row r="519" spans="1:4" x14ac:dyDescent="0.2">
      <c r="A519">
        <v>518</v>
      </c>
      <c r="B519">
        <v>0</v>
      </c>
      <c r="C519">
        <f t="shared" si="19"/>
        <v>1248</v>
      </c>
      <c r="D519" s="2">
        <f t="shared" si="20"/>
        <v>12.5</v>
      </c>
    </row>
    <row r="520" spans="1:4" x14ac:dyDescent="0.2">
      <c r="A520">
        <v>519</v>
      </c>
      <c r="B520">
        <v>0</v>
      </c>
      <c r="C520">
        <f t="shared" si="19"/>
        <v>1249</v>
      </c>
      <c r="D520" s="2">
        <f t="shared" si="20"/>
        <v>12.5</v>
      </c>
    </row>
    <row r="521" spans="1:4" x14ac:dyDescent="0.2">
      <c r="A521">
        <v>520</v>
      </c>
      <c r="B521">
        <v>0</v>
      </c>
      <c r="C521">
        <f t="shared" si="19"/>
        <v>1250</v>
      </c>
      <c r="D521" s="2">
        <f t="shared" si="20"/>
        <v>12.5</v>
      </c>
    </row>
    <row r="522" spans="1:4" x14ac:dyDescent="0.2">
      <c r="A522">
        <v>521</v>
      </c>
      <c r="B522">
        <v>0</v>
      </c>
      <c r="C522">
        <f t="shared" si="19"/>
        <v>1251</v>
      </c>
      <c r="D522" s="2">
        <f t="shared" si="20"/>
        <v>12.5</v>
      </c>
    </row>
    <row r="523" spans="1:4" x14ac:dyDescent="0.2">
      <c r="A523">
        <v>522</v>
      </c>
      <c r="B523">
        <v>0</v>
      </c>
      <c r="C523">
        <f t="shared" si="19"/>
        <v>1252</v>
      </c>
      <c r="D523" s="2">
        <f t="shared" si="20"/>
        <v>12.5</v>
      </c>
    </row>
    <row r="524" spans="1:4" x14ac:dyDescent="0.2">
      <c r="A524">
        <v>523</v>
      </c>
      <c r="B524">
        <v>0</v>
      </c>
      <c r="C524">
        <f t="shared" si="19"/>
        <v>1253</v>
      </c>
      <c r="D524" s="2">
        <f t="shared" si="20"/>
        <v>12.5</v>
      </c>
    </row>
    <row r="525" spans="1:4" x14ac:dyDescent="0.2">
      <c r="A525">
        <v>524</v>
      </c>
      <c r="B525">
        <v>0</v>
      </c>
      <c r="C525">
        <f t="shared" si="19"/>
        <v>1254</v>
      </c>
      <c r="D525" s="2">
        <f t="shared" si="20"/>
        <v>12.5</v>
      </c>
    </row>
    <row r="526" spans="1:4" x14ac:dyDescent="0.2">
      <c r="A526">
        <v>525</v>
      </c>
      <c r="B526">
        <v>0</v>
      </c>
      <c r="C526">
        <f t="shared" si="19"/>
        <v>1255</v>
      </c>
      <c r="D526" s="2">
        <f t="shared" si="20"/>
        <v>12.5</v>
      </c>
    </row>
    <row r="527" spans="1:4" x14ac:dyDescent="0.2">
      <c r="A527">
        <v>526</v>
      </c>
      <c r="B527">
        <v>0</v>
      </c>
      <c r="C527">
        <f t="shared" si="19"/>
        <v>1256</v>
      </c>
      <c r="D527" s="2">
        <f t="shared" si="20"/>
        <v>12.5</v>
      </c>
    </row>
    <row r="528" spans="1:4" x14ac:dyDescent="0.2">
      <c r="A528">
        <v>527</v>
      </c>
      <c r="B528">
        <v>0</v>
      </c>
      <c r="C528">
        <f t="shared" si="19"/>
        <v>1257</v>
      </c>
      <c r="D528" s="2">
        <f t="shared" si="20"/>
        <v>12.5</v>
      </c>
    </row>
    <row r="529" spans="1:4" x14ac:dyDescent="0.2">
      <c r="A529">
        <v>528</v>
      </c>
      <c r="B529">
        <v>0</v>
      </c>
      <c r="C529">
        <f t="shared" si="19"/>
        <v>1258</v>
      </c>
      <c r="D529" s="2">
        <f t="shared" si="20"/>
        <v>12.5</v>
      </c>
    </row>
    <row r="530" spans="1:4" x14ac:dyDescent="0.2">
      <c r="A530">
        <v>529</v>
      </c>
      <c r="B530">
        <v>0</v>
      </c>
      <c r="C530">
        <f t="shared" si="19"/>
        <v>1259</v>
      </c>
      <c r="D530" s="2">
        <f t="shared" si="20"/>
        <v>12.5</v>
      </c>
    </row>
    <row r="531" spans="1:4" x14ac:dyDescent="0.2">
      <c r="A531">
        <v>530</v>
      </c>
      <c r="B531">
        <v>0</v>
      </c>
      <c r="C531">
        <f t="shared" si="19"/>
        <v>1260</v>
      </c>
      <c r="D531" s="2">
        <f t="shared" si="20"/>
        <v>12.5</v>
      </c>
    </row>
    <row r="532" spans="1:4" x14ac:dyDescent="0.2">
      <c r="A532">
        <v>531</v>
      </c>
      <c r="B532">
        <v>0</v>
      </c>
      <c r="C532">
        <f t="shared" si="19"/>
        <v>1261</v>
      </c>
      <c r="D532" s="2">
        <f t="shared" si="20"/>
        <v>12.5</v>
      </c>
    </row>
    <row r="533" spans="1:4" x14ac:dyDescent="0.2">
      <c r="A533">
        <v>532</v>
      </c>
      <c r="B533">
        <v>0</v>
      </c>
      <c r="C533">
        <f t="shared" si="19"/>
        <v>1262</v>
      </c>
      <c r="D533" s="2">
        <f t="shared" si="20"/>
        <v>12.5</v>
      </c>
    </row>
    <row r="534" spans="1:4" x14ac:dyDescent="0.2">
      <c r="A534">
        <v>533</v>
      </c>
      <c r="B534">
        <v>0</v>
      </c>
      <c r="C534">
        <f t="shared" si="19"/>
        <v>1263</v>
      </c>
      <c r="D534" s="2">
        <f t="shared" si="20"/>
        <v>12.5</v>
      </c>
    </row>
    <row r="535" spans="1:4" x14ac:dyDescent="0.2">
      <c r="A535">
        <v>534</v>
      </c>
      <c r="B535">
        <v>0</v>
      </c>
      <c r="C535">
        <f t="shared" si="19"/>
        <v>1264</v>
      </c>
      <c r="D535" s="2">
        <f t="shared" si="20"/>
        <v>12.5</v>
      </c>
    </row>
    <row r="536" spans="1:4" x14ac:dyDescent="0.2">
      <c r="A536">
        <v>535</v>
      </c>
      <c r="B536">
        <v>0</v>
      </c>
      <c r="C536">
        <f t="shared" si="19"/>
        <v>1265</v>
      </c>
      <c r="D536" s="2">
        <f t="shared" si="20"/>
        <v>12.5</v>
      </c>
    </row>
    <row r="537" spans="1:4" x14ac:dyDescent="0.2">
      <c r="A537">
        <v>536</v>
      </c>
      <c r="B537">
        <v>0</v>
      </c>
      <c r="C537">
        <f t="shared" si="19"/>
        <v>1266</v>
      </c>
      <c r="D537" s="2">
        <f t="shared" si="20"/>
        <v>12.5</v>
      </c>
    </row>
    <row r="538" spans="1:4" x14ac:dyDescent="0.2">
      <c r="A538">
        <v>537</v>
      </c>
      <c r="B538">
        <v>0</v>
      </c>
      <c r="C538">
        <f t="shared" si="19"/>
        <v>1267</v>
      </c>
      <c r="D538" s="2">
        <f t="shared" si="20"/>
        <v>12.5</v>
      </c>
    </row>
    <row r="539" spans="1:4" x14ac:dyDescent="0.2">
      <c r="A539">
        <v>538</v>
      </c>
      <c r="B539">
        <v>0</v>
      </c>
      <c r="C539">
        <f t="shared" si="19"/>
        <v>1268</v>
      </c>
      <c r="D539" s="2">
        <f t="shared" si="20"/>
        <v>12.5</v>
      </c>
    </row>
    <row r="540" spans="1:4" x14ac:dyDescent="0.2">
      <c r="A540">
        <v>539</v>
      </c>
      <c r="B540">
        <v>0</v>
      </c>
      <c r="C540">
        <f t="shared" si="19"/>
        <v>1269</v>
      </c>
      <c r="D540" s="2">
        <f t="shared" si="20"/>
        <v>12.5</v>
      </c>
    </row>
    <row r="541" spans="1:4" x14ac:dyDescent="0.2">
      <c r="A541">
        <v>540</v>
      </c>
      <c r="B541">
        <v>0</v>
      </c>
      <c r="C541">
        <f t="shared" si="19"/>
        <v>1270</v>
      </c>
      <c r="D541" s="2">
        <f t="shared" si="20"/>
        <v>12.5</v>
      </c>
    </row>
    <row r="542" spans="1:4" x14ac:dyDescent="0.2">
      <c r="A542">
        <v>541</v>
      </c>
      <c r="B542">
        <v>0</v>
      </c>
      <c r="C542">
        <f t="shared" si="19"/>
        <v>1271</v>
      </c>
      <c r="D542" s="2">
        <f t="shared" si="20"/>
        <v>12.5</v>
      </c>
    </row>
    <row r="543" spans="1:4" x14ac:dyDescent="0.2">
      <c r="A543">
        <v>542</v>
      </c>
      <c r="B543">
        <v>0</v>
      </c>
      <c r="C543">
        <f t="shared" si="19"/>
        <v>1272</v>
      </c>
      <c r="D543" s="2">
        <f t="shared" si="20"/>
        <v>12.5</v>
      </c>
    </row>
    <row r="544" spans="1:4" x14ac:dyDescent="0.2">
      <c r="A544">
        <v>543</v>
      </c>
      <c r="B544">
        <v>0</v>
      </c>
      <c r="C544">
        <f t="shared" si="19"/>
        <v>1273</v>
      </c>
      <c r="D544" s="2">
        <f t="shared" si="20"/>
        <v>12.5</v>
      </c>
    </row>
    <row r="545" spans="1:4" x14ac:dyDescent="0.2">
      <c r="A545">
        <v>544</v>
      </c>
      <c r="B545">
        <v>0</v>
      </c>
      <c r="C545">
        <f t="shared" si="19"/>
        <v>1274</v>
      </c>
      <c r="D545" s="2">
        <f t="shared" si="20"/>
        <v>12.5</v>
      </c>
    </row>
    <row r="546" spans="1:4" x14ac:dyDescent="0.2">
      <c r="A546">
        <v>545</v>
      </c>
      <c r="B546">
        <v>0</v>
      </c>
      <c r="C546">
        <f t="shared" si="19"/>
        <v>1275</v>
      </c>
      <c r="D546" s="2">
        <f t="shared" si="20"/>
        <v>12.5</v>
      </c>
    </row>
    <row r="547" spans="1:4" x14ac:dyDescent="0.2">
      <c r="A547">
        <v>546</v>
      </c>
      <c r="B547">
        <v>0</v>
      </c>
      <c r="C547">
        <f t="shared" si="19"/>
        <v>1276</v>
      </c>
      <c r="D547" s="2">
        <f t="shared" si="20"/>
        <v>12.5</v>
      </c>
    </row>
    <row r="548" spans="1:4" x14ac:dyDescent="0.2">
      <c r="A548">
        <v>547</v>
      </c>
      <c r="B548">
        <v>0</v>
      </c>
      <c r="C548">
        <f t="shared" si="19"/>
        <v>1277</v>
      </c>
      <c r="D548" s="2">
        <f t="shared" si="20"/>
        <v>12.5</v>
      </c>
    </row>
    <row r="549" spans="1:4" x14ac:dyDescent="0.2">
      <c r="A549">
        <v>548</v>
      </c>
      <c r="B549">
        <v>0</v>
      </c>
      <c r="C549">
        <f t="shared" si="19"/>
        <v>1278</v>
      </c>
      <c r="D549" s="2">
        <f t="shared" si="20"/>
        <v>12.5</v>
      </c>
    </row>
    <row r="550" spans="1:4" x14ac:dyDescent="0.2">
      <c r="A550">
        <v>549</v>
      </c>
      <c r="B550">
        <v>0</v>
      </c>
      <c r="C550">
        <f t="shared" si="19"/>
        <v>1279</v>
      </c>
      <c r="D550" s="2">
        <f t="shared" si="20"/>
        <v>12.5</v>
      </c>
    </row>
    <row r="551" spans="1:4" x14ac:dyDescent="0.2">
      <c r="A551">
        <v>550</v>
      </c>
      <c r="B551">
        <v>0</v>
      </c>
      <c r="C551">
        <f t="shared" si="19"/>
        <v>1280</v>
      </c>
      <c r="D551" s="2">
        <f t="shared" si="20"/>
        <v>12.5</v>
      </c>
    </row>
    <row r="552" spans="1:4" x14ac:dyDescent="0.2">
      <c r="A552">
        <v>551</v>
      </c>
      <c r="B552">
        <v>0</v>
      </c>
      <c r="C552">
        <f t="shared" si="19"/>
        <v>1281</v>
      </c>
      <c r="D552" s="2">
        <f t="shared" si="20"/>
        <v>12.5</v>
      </c>
    </row>
    <row r="553" spans="1:4" x14ac:dyDescent="0.2">
      <c r="A553">
        <v>552</v>
      </c>
      <c r="B553">
        <v>0</v>
      </c>
      <c r="C553">
        <f t="shared" si="19"/>
        <v>1282</v>
      </c>
      <c r="D553" s="2">
        <f t="shared" si="20"/>
        <v>12.5</v>
      </c>
    </row>
    <row r="554" spans="1:4" x14ac:dyDescent="0.2">
      <c r="A554">
        <v>553</v>
      </c>
      <c r="B554">
        <v>0</v>
      </c>
      <c r="C554">
        <f t="shared" si="19"/>
        <v>1283</v>
      </c>
      <c r="D554" s="2">
        <f t="shared" si="20"/>
        <v>12.5</v>
      </c>
    </row>
    <row r="555" spans="1:4" x14ac:dyDescent="0.2">
      <c r="A555">
        <v>554</v>
      </c>
      <c r="B555">
        <v>0</v>
      </c>
      <c r="C555">
        <f t="shared" si="19"/>
        <v>1284</v>
      </c>
      <c r="D555" s="2">
        <f t="shared" si="20"/>
        <v>12.5</v>
      </c>
    </row>
    <row r="556" spans="1:4" x14ac:dyDescent="0.2">
      <c r="A556">
        <v>555</v>
      </c>
      <c r="B556">
        <v>0</v>
      </c>
      <c r="C556">
        <f t="shared" si="19"/>
        <v>1285</v>
      </c>
      <c r="D556" s="2">
        <f t="shared" si="20"/>
        <v>12.5</v>
      </c>
    </row>
    <row r="557" spans="1:4" x14ac:dyDescent="0.2">
      <c r="A557">
        <v>556</v>
      </c>
      <c r="B557">
        <v>0</v>
      </c>
      <c r="C557">
        <f t="shared" si="19"/>
        <v>1286</v>
      </c>
      <c r="D557" s="2">
        <f t="shared" si="20"/>
        <v>12.5</v>
      </c>
    </row>
    <row r="558" spans="1:4" x14ac:dyDescent="0.2">
      <c r="A558">
        <v>557</v>
      </c>
      <c r="B558">
        <v>0</v>
      </c>
      <c r="C558">
        <f t="shared" si="19"/>
        <v>1287</v>
      </c>
      <c r="D558" s="2">
        <f t="shared" si="20"/>
        <v>12.5</v>
      </c>
    </row>
    <row r="559" spans="1:4" x14ac:dyDescent="0.2">
      <c r="A559">
        <v>558</v>
      </c>
      <c r="B559">
        <v>0</v>
      </c>
      <c r="C559">
        <f t="shared" si="19"/>
        <v>1288</v>
      </c>
      <c r="D559" s="2">
        <f t="shared" si="20"/>
        <v>12.5</v>
      </c>
    </row>
    <row r="560" spans="1:4" x14ac:dyDescent="0.2">
      <c r="A560">
        <v>559</v>
      </c>
      <c r="B560">
        <v>0</v>
      </c>
      <c r="C560">
        <f t="shared" si="19"/>
        <v>1289</v>
      </c>
      <c r="D560" s="2">
        <f t="shared" si="20"/>
        <v>12.5</v>
      </c>
    </row>
    <row r="561" spans="1:4" x14ac:dyDescent="0.2">
      <c r="A561">
        <v>560</v>
      </c>
      <c r="B561">
        <v>0</v>
      </c>
      <c r="C561">
        <f t="shared" si="19"/>
        <v>1290</v>
      </c>
      <c r="D561" s="2">
        <f t="shared" si="20"/>
        <v>12.5</v>
      </c>
    </row>
    <row r="562" spans="1:4" x14ac:dyDescent="0.2">
      <c r="A562">
        <v>561</v>
      </c>
      <c r="B562">
        <v>0</v>
      </c>
      <c r="C562">
        <f t="shared" si="19"/>
        <v>1291</v>
      </c>
      <c r="D562" s="2">
        <f t="shared" si="20"/>
        <v>12.5</v>
      </c>
    </row>
    <row r="563" spans="1:4" x14ac:dyDescent="0.2">
      <c r="A563">
        <v>562</v>
      </c>
      <c r="B563">
        <v>0</v>
      </c>
      <c r="C563">
        <f t="shared" si="19"/>
        <v>1292</v>
      </c>
      <c r="D563" s="2">
        <f t="shared" si="20"/>
        <v>12.5</v>
      </c>
    </row>
    <row r="564" spans="1:4" x14ac:dyDescent="0.2">
      <c r="A564">
        <v>563</v>
      </c>
      <c r="B564">
        <v>0</v>
      </c>
      <c r="C564">
        <f t="shared" si="19"/>
        <v>1293</v>
      </c>
      <c r="D564" s="2">
        <f t="shared" si="20"/>
        <v>12.5</v>
      </c>
    </row>
    <row r="565" spans="1:4" x14ac:dyDescent="0.2">
      <c r="A565">
        <v>564</v>
      </c>
      <c r="B565">
        <v>0</v>
      </c>
      <c r="C565">
        <f t="shared" si="19"/>
        <v>1294</v>
      </c>
      <c r="D565" s="2">
        <f t="shared" si="20"/>
        <v>12.5</v>
      </c>
    </row>
    <row r="566" spans="1:4" x14ac:dyDescent="0.2">
      <c r="A566">
        <v>565</v>
      </c>
      <c r="B566">
        <v>0</v>
      </c>
      <c r="C566">
        <f t="shared" si="19"/>
        <v>1295</v>
      </c>
      <c r="D566" s="2">
        <f t="shared" si="20"/>
        <v>12.5</v>
      </c>
    </row>
    <row r="567" spans="1:4" x14ac:dyDescent="0.2">
      <c r="A567">
        <v>566</v>
      </c>
      <c r="B567">
        <v>0</v>
      </c>
      <c r="C567">
        <f t="shared" si="19"/>
        <v>1296</v>
      </c>
      <c r="D567" s="2">
        <f t="shared" si="20"/>
        <v>12.5</v>
      </c>
    </row>
    <row r="568" spans="1:4" x14ac:dyDescent="0.2">
      <c r="A568">
        <v>567</v>
      </c>
      <c r="B568">
        <v>0</v>
      </c>
      <c r="C568">
        <f t="shared" si="19"/>
        <v>1297</v>
      </c>
      <c r="D568" s="2">
        <f t="shared" si="20"/>
        <v>12.5</v>
      </c>
    </row>
    <row r="569" spans="1:4" x14ac:dyDescent="0.2">
      <c r="A569">
        <v>568</v>
      </c>
      <c r="B569">
        <v>0</v>
      </c>
      <c r="C569">
        <f t="shared" si="19"/>
        <v>1298</v>
      </c>
      <c r="D569" s="2">
        <f t="shared" si="20"/>
        <v>12.5</v>
      </c>
    </row>
    <row r="570" spans="1:4" x14ac:dyDescent="0.2">
      <c r="A570">
        <v>569</v>
      </c>
      <c r="B570">
        <v>0</v>
      </c>
      <c r="C570">
        <f t="shared" si="19"/>
        <v>1299</v>
      </c>
      <c r="D570" s="2">
        <f t="shared" si="20"/>
        <v>12.5</v>
      </c>
    </row>
    <row r="571" spans="1:4" x14ac:dyDescent="0.2">
      <c r="A571">
        <v>570</v>
      </c>
      <c r="B571">
        <v>0</v>
      </c>
      <c r="C571">
        <f t="shared" si="19"/>
        <v>1300</v>
      </c>
      <c r="D571" s="2">
        <f t="shared" si="20"/>
        <v>12.5</v>
      </c>
    </row>
    <row r="572" spans="1:4" x14ac:dyDescent="0.2">
      <c r="A572">
        <v>571</v>
      </c>
      <c r="B572">
        <v>0</v>
      </c>
      <c r="C572">
        <f t="shared" si="19"/>
        <v>1301</v>
      </c>
      <c r="D572" s="2">
        <f t="shared" si="20"/>
        <v>12.5</v>
      </c>
    </row>
    <row r="573" spans="1:4" x14ac:dyDescent="0.2">
      <c r="A573">
        <v>572</v>
      </c>
      <c r="B573">
        <v>0</v>
      </c>
      <c r="C573">
        <f t="shared" si="19"/>
        <v>1302</v>
      </c>
      <c r="D573" s="2">
        <f t="shared" si="20"/>
        <v>12.5</v>
      </c>
    </row>
    <row r="574" spans="1:4" x14ac:dyDescent="0.2">
      <c r="A574">
        <v>573</v>
      </c>
      <c r="B574">
        <v>0</v>
      </c>
      <c r="C574">
        <f t="shared" si="19"/>
        <v>1303</v>
      </c>
      <c r="D574" s="2">
        <f t="shared" si="20"/>
        <v>12.5</v>
      </c>
    </row>
    <row r="575" spans="1:4" x14ac:dyDescent="0.2">
      <c r="A575">
        <v>574</v>
      </c>
      <c r="B575">
        <v>0</v>
      </c>
      <c r="C575">
        <f t="shared" si="19"/>
        <v>1304</v>
      </c>
      <c r="D575" s="2">
        <f t="shared" si="20"/>
        <v>12.5</v>
      </c>
    </row>
    <row r="576" spans="1:4" x14ac:dyDescent="0.2">
      <c r="A576">
        <v>575</v>
      </c>
      <c r="B576">
        <v>0</v>
      </c>
      <c r="C576">
        <f t="shared" si="19"/>
        <v>1305</v>
      </c>
      <c r="D576" s="2">
        <f t="shared" si="20"/>
        <v>12.5</v>
      </c>
    </row>
    <row r="577" spans="1:4" x14ac:dyDescent="0.2">
      <c r="A577">
        <v>576</v>
      </c>
      <c r="B577">
        <v>0</v>
      </c>
      <c r="C577">
        <f t="shared" si="19"/>
        <v>1306</v>
      </c>
      <c r="D577" s="2">
        <f t="shared" si="20"/>
        <v>12.5</v>
      </c>
    </row>
    <row r="578" spans="1:4" x14ac:dyDescent="0.2">
      <c r="A578">
        <v>577</v>
      </c>
      <c r="B578">
        <v>0</v>
      </c>
      <c r="C578">
        <f t="shared" si="19"/>
        <v>1307</v>
      </c>
      <c r="D578" s="2">
        <f t="shared" si="20"/>
        <v>12.5</v>
      </c>
    </row>
    <row r="579" spans="1:4" x14ac:dyDescent="0.2">
      <c r="A579">
        <v>578</v>
      </c>
      <c r="B579">
        <v>0</v>
      </c>
      <c r="C579">
        <f t="shared" ref="C579:C642" si="21">A579+730</f>
        <v>1308</v>
      </c>
      <c r="D579" s="2">
        <f t="shared" ref="D579:D642" si="22">$I$8</f>
        <v>12.5</v>
      </c>
    </row>
    <row r="580" spans="1:4" x14ac:dyDescent="0.2">
      <c r="A580">
        <v>579</v>
      </c>
      <c r="B580">
        <v>0</v>
      </c>
      <c r="C580">
        <f t="shared" si="21"/>
        <v>1309</v>
      </c>
      <c r="D580" s="2">
        <f t="shared" si="22"/>
        <v>12.5</v>
      </c>
    </row>
    <row r="581" spans="1:4" x14ac:dyDescent="0.2">
      <c r="A581">
        <v>580</v>
      </c>
      <c r="B581">
        <v>0</v>
      </c>
      <c r="C581">
        <f t="shared" si="21"/>
        <v>1310</v>
      </c>
      <c r="D581" s="2">
        <f t="shared" si="22"/>
        <v>12.5</v>
      </c>
    </row>
    <row r="582" spans="1:4" x14ac:dyDescent="0.2">
      <c r="A582">
        <v>581</v>
      </c>
      <c r="B582">
        <v>0</v>
      </c>
      <c r="C582">
        <f t="shared" si="21"/>
        <v>1311</v>
      </c>
      <c r="D582" s="2">
        <f t="shared" si="22"/>
        <v>12.5</v>
      </c>
    </row>
    <row r="583" spans="1:4" x14ac:dyDescent="0.2">
      <c r="A583">
        <v>582</v>
      </c>
      <c r="B583">
        <v>0</v>
      </c>
      <c r="C583">
        <f t="shared" si="21"/>
        <v>1312</v>
      </c>
      <c r="D583" s="2">
        <f t="shared" si="22"/>
        <v>12.5</v>
      </c>
    </row>
    <row r="584" spans="1:4" x14ac:dyDescent="0.2">
      <c r="A584">
        <v>583</v>
      </c>
      <c r="B584">
        <v>0</v>
      </c>
      <c r="C584">
        <f t="shared" si="21"/>
        <v>1313</v>
      </c>
      <c r="D584" s="2">
        <f t="shared" si="22"/>
        <v>12.5</v>
      </c>
    </row>
    <row r="585" spans="1:4" x14ac:dyDescent="0.2">
      <c r="A585">
        <v>584</v>
      </c>
      <c r="B585">
        <v>0</v>
      </c>
      <c r="C585">
        <f t="shared" si="21"/>
        <v>1314</v>
      </c>
      <c r="D585" s="2">
        <f t="shared" si="22"/>
        <v>12.5</v>
      </c>
    </row>
    <row r="586" spans="1:4" x14ac:dyDescent="0.2">
      <c r="A586">
        <v>585</v>
      </c>
      <c r="B586">
        <v>0</v>
      </c>
      <c r="C586">
        <f t="shared" si="21"/>
        <v>1315</v>
      </c>
      <c r="D586" s="2">
        <f t="shared" si="22"/>
        <v>12.5</v>
      </c>
    </row>
    <row r="587" spans="1:4" x14ac:dyDescent="0.2">
      <c r="A587">
        <v>586</v>
      </c>
      <c r="B587">
        <v>0</v>
      </c>
      <c r="C587">
        <f t="shared" si="21"/>
        <v>1316</v>
      </c>
      <c r="D587" s="2">
        <f t="shared" si="22"/>
        <v>12.5</v>
      </c>
    </row>
    <row r="588" spans="1:4" x14ac:dyDescent="0.2">
      <c r="A588">
        <v>587</v>
      </c>
      <c r="B588">
        <v>0</v>
      </c>
      <c r="C588">
        <f t="shared" si="21"/>
        <v>1317</v>
      </c>
      <c r="D588" s="2">
        <f t="shared" si="22"/>
        <v>12.5</v>
      </c>
    </row>
    <row r="589" spans="1:4" x14ac:dyDescent="0.2">
      <c r="A589">
        <v>588</v>
      </c>
      <c r="B589">
        <v>0</v>
      </c>
      <c r="C589">
        <f t="shared" si="21"/>
        <v>1318</v>
      </c>
      <c r="D589" s="2">
        <f t="shared" si="22"/>
        <v>12.5</v>
      </c>
    </row>
    <row r="590" spans="1:4" x14ac:dyDescent="0.2">
      <c r="A590">
        <v>589</v>
      </c>
      <c r="B590">
        <v>0</v>
      </c>
      <c r="C590">
        <f t="shared" si="21"/>
        <v>1319</v>
      </c>
      <c r="D590" s="2">
        <f t="shared" si="22"/>
        <v>12.5</v>
      </c>
    </row>
    <row r="591" spans="1:4" x14ac:dyDescent="0.2">
      <c r="A591">
        <v>590</v>
      </c>
      <c r="B591">
        <v>0</v>
      </c>
      <c r="C591">
        <f t="shared" si="21"/>
        <v>1320</v>
      </c>
      <c r="D591" s="2">
        <f t="shared" si="22"/>
        <v>12.5</v>
      </c>
    </row>
    <row r="592" spans="1:4" x14ac:dyDescent="0.2">
      <c r="A592">
        <v>591</v>
      </c>
      <c r="B592">
        <v>0</v>
      </c>
      <c r="C592">
        <f t="shared" si="21"/>
        <v>1321</v>
      </c>
      <c r="D592" s="2">
        <f t="shared" si="22"/>
        <v>12.5</v>
      </c>
    </row>
    <row r="593" spans="1:4" x14ac:dyDescent="0.2">
      <c r="A593">
        <v>592</v>
      </c>
      <c r="B593">
        <v>0</v>
      </c>
      <c r="C593">
        <f t="shared" si="21"/>
        <v>1322</v>
      </c>
      <c r="D593" s="2">
        <f t="shared" si="22"/>
        <v>12.5</v>
      </c>
    </row>
    <row r="594" spans="1:4" x14ac:dyDescent="0.2">
      <c r="A594">
        <v>593</v>
      </c>
      <c r="B594">
        <v>0</v>
      </c>
      <c r="C594">
        <f t="shared" si="21"/>
        <v>1323</v>
      </c>
      <c r="D594" s="2">
        <f t="shared" si="22"/>
        <v>12.5</v>
      </c>
    </row>
    <row r="595" spans="1:4" x14ac:dyDescent="0.2">
      <c r="A595">
        <v>594</v>
      </c>
      <c r="B595">
        <v>0</v>
      </c>
      <c r="C595">
        <f t="shared" si="21"/>
        <v>1324</v>
      </c>
      <c r="D595" s="2">
        <f t="shared" si="22"/>
        <v>12.5</v>
      </c>
    </row>
    <row r="596" spans="1:4" x14ac:dyDescent="0.2">
      <c r="A596">
        <v>595</v>
      </c>
      <c r="B596">
        <v>0</v>
      </c>
      <c r="C596">
        <f t="shared" si="21"/>
        <v>1325</v>
      </c>
      <c r="D596" s="2">
        <f t="shared" si="22"/>
        <v>12.5</v>
      </c>
    </row>
    <row r="597" spans="1:4" x14ac:dyDescent="0.2">
      <c r="A597">
        <v>596</v>
      </c>
      <c r="B597">
        <v>0</v>
      </c>
      <c r="C597">
        <f t="shared" si="21"/>
        <v>1326</v>
      </c>
      <c r="D597" s="2">
        <f t="shared" si="22"/>
        <v>12.5</v>
      </c>
    </row>
    <row r="598" spans="1:4" x14ac:dyDescent="0.2">
      <c r="A598">
        <v>597</v>
      </c>
      <c r="B598">
        <v>0</v>
      </c>
      <c r="C598">
        <f t="shared" si="21"/>
        <v>1327</v>
      </c>
      <c r="D598" s="2">
        <f t="shared" si="22"/>
        <v>12.5</v>
      </c>
    </row>
    <row r="599" spans="1:4" x14ac:dyDescent="0.2">
      <c r="A599">
        <v>598</v>
      </c>
      <c r="B599">
        <v>0</v>
      </c>
      <c r="C599">
        <f t="shared" si="21"/>
        <v>1328</v>
      </c>
      <c r="D599" s="2">
        <f t="shared" si="22"/>
        <v>12.5</v>
      </c>
    </row>
    <row r="600" spans="1:4" x14ac:dyDescent="0.2">
      <c r="A600">
        <v>599</v>
      </c>
      <c r="B600">
        <v>0</v>
      </c>
      <c r="C600">
        <f t="shared" si="21"/>
        <v>1329</v>
      </c>
      <c r="D600" s="2">
        <f t="shared" si="22"/>
        <v>12.5</v>
      </c>
    </row>
    <row r="601" spans="1:4" x14ac:dyDescent="0.2">
      <c r="A601">
        <v>600</v>
      </c>
      <c r="B601">
        <v>0</v>
      </c>
      <c r="C601">
        <f t="shared" si="21"/>
        <v>1330</v>
      </c>
      <c r="D601" s="2">
        <f t="shared" si="22"/>
        <v>12.5</v>
      </c>
    </row>
    <row r="602" spans="1:4" x14ac:dyDescent="0.2">
      <c r="A602">
        <v>601</v>
      </c>
      <c r="B602">
        <v>0</v>
      </c>
      <c r="C602">
        <f t="shared" si="21"/>
        <v>1331</v>
      </c>
      <c r="D602" s="2">
        <f t="shared" si="22"/>
        <v>12.5</v>
      </c>
    </row>
    <row r="603" spans="1:4" x14ac:dyDescent="0.2">
      <c r="A603">
        <v>602</v>
      </c>
      <c r="B603">
        <v>0</v>
      </c>
      <c r="C603">
        <f t="shared" si="21"/>
        <v>1332</v>
      </c>
      <c r="D603" s="2">
        <f t="shared" si="22"/>
        <v>12.5</v>
      </c>
    </row>
    <row r="604" spans="1:4" x14ac:dyDescent="0.2">
      <c r="A604">
        <v>603</v>
      </c>
      <c r="B604">
        <v>0</v>
      </c>
      <c r="C604">
        <f t="shared" si="21"/>
        <v>1333</v>
      </c>
      <c r="D604" s="2">
        <f t="shared" si="22"/>
        <v>12.5</v>
      </c>
    </row>
    <row r="605" spans="1:4" x14ac:dyDescent="0.2">
      <c r="A605">
        <v>604</v>
      </c>
      <c r="B605">
        <v>0</v>
      </c>
      <c r="C605">
        <f t="shared" si="21"/>
        <v>1334</v>
      </c>
      <c r="D605" s="2">
        <f t="shared" si="22"/>
        <v>12.5</v>
      </c>
    </row>
    <row r="606" spans="1:4" x14ac:dyDescent="0.2">
      <c r="A606">
        <v>605</v>
      </c>
      <c r="B606">
        <v>0</v>
      </c>
      <c r="C606">
        <f t="shared" si="21"/>
        <v>1335</v>
      </c>
      <c r="D606" s="2">
        <f t="shared" si="22"/>
        <v>12.5</v>
      </c>
    </row>
    <row r="607" spans="1:4" x14ac:dyDescent="0.2">
      <c r="A607">
        <v>606</v>
      </c>
      <c r="B607">
        <v>0</v>
      </c>
      <c r="C607">
        <f t="shared" si="21"/>
        <v>1336</v>
      </c>
      <c r="D607" s="2">
        <f t="shared" si="22"/>
        <v>12.5</v>
      </c>
    </row>
    <row r="608" spans="1:4" x14ac:dyDescent="0.2">
      <c r="A608">
        <v>607</v>
      </c>
      <c r="B608">
        <v>0</v>
      </c>
      <c r="C608">
        <f t="shared" si="21"/>
        <v>1337</v>
      </c>
      <c r="D608" s="2">
        <f t="shared" si="22"/>
        <v>12.5</v>
      </c>
    </row>
    <row r="609" spans="1:4" x14ac:dyDescent="0.2">
      <c r="A609">
        <v>608</v>
      </c>
      <c r="B609">
        <v>0</v>
      </c>
      <c r="C609">
        <f t="shared" si="21"/>
        <v>1338</v>
      </c>
      <c r="D609" s="2">
        <f t="shared" si="22"/>
        <v>12.5</v>
      </c>
    </row>
    <row r="610" spans="1:4" x14ac:dyDescent="0.2">
      <c r="A610">
        <v>609</v>
      </c>
      <c r="B610">
        <v>0</v>
      </c>
      <c r="C610">
        <f t="shared" si="21"/>
        <v>1339</v>
      </c>
      <c r="D610" s="2">
        <f t="shared" si="22"/>
        <v>12.5</v>
      </c>
    </row>
    <row r="611" spans="1:4" x14ac:dyDescent="0.2">
      <c r="A611">
        <v>610</v>
      </c>
      <c r="B611">
        <v>0</v>
      </c>
      <c r="C611">
        <f t="shared" si="21"/>
        <v>1340</v>
      </c>
      <c r="D611" s="2">
        <f t="shared" si="22"/>
        <v>12.5</v>
      </c>
    </row>
    <row r="612" spans="1:4" x14ac:dyDescent="0.2">
      <c r="A612">
        <v>611</v>
      </c>
      <c r="B612">
        <v>0</v>
      </c>
      <c r="C612">
        <f t="shared" si="21"/>
        <v>1341</v>
      </c>
      <c r="D612" s="2">
        <f t="shared" si="22"/>
        <v>12.5</v>
      </c>
    </row>
    <row r="613" spans="1:4" x14ac:dyDescent="0.2">
      <c r="A613">
        <v>612</v>
      </c>
      <c r="B613">
        <v>0</v>
      </c>
      <c r="C613">
        <f t="shared" si="21"/>
        <v>1342</v>
      </c>
      <c r="D613" s="2">
        <f t="shared" si="22"/>
        <v>12.5</v>
      </c>
    </row>
    <row r="614" spans="1:4" x14ac:dyDescent="0.2">
      <c r="A614">
        <v>613</v>
      </c>
      <c r="B614">
        <v>0</v>
      </c>
      <c r="C614">
        <f t="shared" si="21"/>
        <v>1343</v>
      </c>
      <c r="D614" s="2">
        <f t="shared" si="22"/>
        <v>12.5</v>
      </c>
    </row>
    <row r="615" spans="1:4" x14ac:dyDescent="0.2">
      <c r="A615">
        <v>614</v>
      </c>
      <c r="B615">
        <v>0</v>
      </c>
      <c r="C615">
        <f t="shared" si="21"/>
        <v>1344</v>
      </c>
      <c r="D615" s="2">
        <f t="shared" si="22"/>
        <v>12.5</v>
      </c>
    </row>
    <row r="616" spans="1:4" x14ac:dyDescent="0.2">
      <c r="A616">
        <v>615</v>
      </c>
      <c r="B616">
        <v>0</v>
      </c>
      <c r="C616">
        <f t="shared" si="21"/>
        <v>1345</v>
      </c>
      <c r="D616" s="2">
        <f t="shared" si="22"/>
        <v>12.5</v>
      </c>
    </row>
    <row r="617" spans="1:4" x14ac:dyDescent="0.2">
      <c r="A617">
        <v>616</v>
      </c>
      <c r="B617">
        <v>0</v>
      </c>
      <c r="C617">
        <f t="shared" si="21"/>
        <v>1346</v>
      </c>
      <c r="D617" s="2">
        <f t="shared" si="22"/>
        <v>12.5</v>
      </c>
    </row>
    <row r="618" spans="1:4" x14ac:dyDescent="0.2">
      <c r="A618">
        <v>617</v>
      </c>
      <c r="B618">
        <v>0</v>
      </c>
      <c r="C618">
        <f t="shared" si="21"/>
        <v>1347</v>
      </c>
      <c r="D618" s="2">
        <f t="shared" si="22"/>
        <v>12.5</v>
      </c>
    </row>
    <row r="619" spans="1:4" x14ac:dyDescent="0.2">
      <c r="A619">
        <v>618</v>
      </c>
      <c r="B619">
        <v>0</v>
      </c>
      <c r="C619">
        <f t="shared" si="21"/>
        <v>1348</v>
      </c>
      <c r="D619" s="2">
        <f t="shared" si="22"/>
        <v>12.5</v>
      </c>
    </row>
    <row r="620" spans="1:4" x14ac:dyDescent="0.2">
      <c r="A620">
        <v>619</v>
      </c>
      <c r="B620">
        <v>0</v>
      </c>
      <c r="C620">
        <f t="shared" si="21"/>
        <v>1349</v>
      </c>
      <c r="D620" s="2">
        <f t="shared" si="22"/>
        <v>12.5</v>
      </c>
    </row>
    <row r="621" spans="1:4" x14ac:dyDescent="0.2">
      <c r="A621">
        <v>620</v>
      </c>
      <c r="B621">
        <v>0</v>
      </c>
      <c r="C621">
        <f t="shared" si="21"/>
        <v>1350</v>
      </c>
      <c r="D621" s="2">
        <f t="shared" si="22"/>
        <v>12.5</v>
      </c>
    </row>
    <row r="622" spans="1:4" x14ac:dyDescent="0.2">
      <c r="A622">
        <v>621</v>
      </c>
      <c r="B622">
        <v>0</v>
      </c>
      <c r="C622">
        <f t="shared" si="21"/>
        <v>1351</v>
      </c>
      <c r="D622" s="2">
        <f t="shared" si="22"/>
        <v>12.5</v>
      </c>
    </row>
    <row r="623" spans="1:4" x14ac:dyDescent="0.2">
      <c r="A623">
        <v>622</v>
      </c>
      <c r="B623">
        <v>0</v>
      </c>
      <c r="C623">
        <f t="shared" si="21"/>
        <v>1352</v>
      </c>
      <c r="D623" s="2">
        <f t="shared" si="22"/>
        <v>12.5</v>
      </c>
    </row>
    <row r="624" spans="1:4" x14ac:dyDescent="0.2">
      <c r="A624">
        <v>623</v>
      </c>
      <c r="B624">
        <v>0</v>
      </c>
      <c r="C624">
        <f t="shared" si="21"/>
        <v>1353</v>
      </c>
      <c r="D624" s="2">
        <f t="shared" si="22"/>
        <v>12.5</v>
      </c>
    </row>
    <row r="625" spans="1:4" x14ac:dyDescent="0.2">
      <c r="A625">
        <v>624</v>
      </c>
      <c r="B625">
        <v>0</v>
      </c>
      <c r="C625">
        <f t="shared" si="21"/>
        <v>1354</v>
      </c>
      <c r="D625" s="2">
        <f t="shared" si="22"/>
        <v>12.5</v>
      </c>
    </row>
    <row r="626" spans="1:4" x14ac:dyDescent="0.2">
      <c r="A626">
        <v>625</v>
      </c>
      <c r="B626">
        <v>0</v>
      </c>
      <c r="C626">
        <f t="shared" si="21"/>
        <v>1355</v>
      </c>
      <c r="D626" s="2">
        <f t="shared" si="22"/>
        <v>12.5</v>
      </c>
    </row>
    <row r="627" spans="1:4" x14ac:dyDescent="0.2">
      <c r="A627">
        <v>626</v>
      </c>
      <c r="B627">
        <v>0</v>
      </c>
      <c r="C627">
        <f t="shared" si="21"/>
        <v>1356</v>
      </c>
      <c r="D627" s="2">
        <f t="shared" si="22"/>
        <v>12.5</v>
      </c>
    </row>
    <row r="628" spans="1:4" x14ac:dyDescent="0.2">
      <c r="A628">
        <v>627</v>
      </c>
      <c r="B628">
        <v>0</v>
      </c>
      <c r="C628">
        <f t="shared" si="21"/>
        <v>1357</v>
      </c>
      <c r="D628" s="2">
        <f t="shared" si="22"/>
        <v>12.5</v>
      </c>
    </row>
    <row r="629" spans="1:4" x14ac:dyDescent="0.2">
      <c r="A629">
        <v>628</v>
      </c>
      <c r="B629">
        <v>0</v>
      </c>
      <c r="C629">
        <f t="shared" si="21"/>
        <v>1358</v>
      </c>
      <c r="D629" s="2">
        <f t="shared" si="22"/>
        <v>12.5</v>
      </c>
    </row>
    <row r="630" spans="1:4" x14ac:dyDescent="0.2">
      <c r="A630">
        <v>629</v>
      </c>
      <c r="B630">
        <v>0</v>
      </c>
      <c r="C630">
        <f t="shared" si="21"/>
        <v>1359</v>
      </c>
      <c r="D630" s="2">
        <f t="shared" si="22"/>
        <v>12.5</v>
      </c>
    </row>
    <row r="631" spans="1:4" x14ac:dyDescent="0.2">
      <c r="A631">
        <v>630</v>
      </c>
      <c r="B631">
        <v>0</v>
      </c>
      <c r="C631">
        <f t="shared" si="21"/>
        <v>1360</v>
      </c>
      <c r="D631" s="2">
        <f t="shared" si="22"/>
        <v>12.5</v>
      </c>
    </row>
    <row r="632" spans="1:4" x14ac:dyDescent="0.2">
      <c r="A632">
        <v>631</v>
      </c>
      <c r="B632">
        <v>0</v>
      </c>
      <c r="C632">
        <f t="shared" si="21"/>
        <v>1361</v>
      </c>
      <c r="D632" s="2">
        <f t="shared" si="22"/>
        <v>12.5</v>
      </c>
    </row>
    <row r="633" spans="1:4" x14ac:dyDescent="0.2">
      <c r="A633">
        <v>632</v>
      </c>
      <c r="B633">
        <v>0</v>
      </c>
      <c r="C633">
        <f t="shared" si="21"/>
        <v>1362</v>
      </c>
      <c r="D633" s="2">
        <f t="shared" si="22"/>
        <v>12.5</v>
      </c>
    </row>
    <row r="634" spans="1:4" x14ac:dyDescent="0.2">
      <c r="A634">
        <v>633</v>
      </c>
      <c r="B634">
        <v>0</v>
      </c>
      <c r="C634">
        <f t="shared" si="21"/>
        <v>1363</v>
      </c>
      <c r="D634" s="2">
        <f t="shared" si="22"/>
        <v>12.5</v>
      </c>
    </row>
    <row r="635" spans="1:4" x14ac:dyDescent="0.2">
      <c r="A635">
        <v>634</v>
      </c>
      <c r="B635">
        <v>0</v>
      </c>
      <c r="C635">
        <f t="shared" si="21"/>
        <v>1364</v>
      </c>
      <c r="D635" s="2">
        <f t="shared" si="22"/>
        <v>12.5</v>
      </c>
    </row>
    <row r="636" spans="1:4" x14ac:dyDescent="0.2">
      <c r="A636">
        <v>635</v>
      </c>
      <c r="B636">
        <v>0</v>
      </c>
      <c r="C636">
        <f t="shared" si="21"/>
        <v>1365</v>
      </c>
      <c r="D636" s="2">
        <f t="shared" si="22"/>
        <v>12.5</v>
      </c>
    </row>
    <row r="637" spans="1:4" x14ac:dyDescent="0.2">
      <c r="A637">
        <v>636</v>
      </c>
      <c r="B637">
        <v>0</v>
      </c>
      <c r="C637">
        <f t="shared" si="21"/>
        <v>1366</v>
      </c>
      <c r="D637" s="2">
        <f t="shared" si="22"/>
        <v>12.5</v>
      </c>
    </row>
    <row r="638" spans="1:4" x14ac:dyDescent="0.2">
      <c r="A638">
        <v>637</v>
      </c>
      <c r="B638">
        <v>0</v>
      </c>
      <c r="C638">
        <f t="shared" si="21"/>
        <v>1367</v>
      </c>
      <c r="D638" s="2">
        <f t="shared" si="22"/>
        <v>12.5</v>
      </c>
    </row>
    <row r="639" spans="1:4" x14ac:dyDescent="0.2">
      <c r="A639">
        <v>638</v>
      </c>
      <c r="B639">
        <v>0</v>
      </c>
      <c r="C639">
        <f t="shared" si="21"/>
        <v>1368</v>
      </c>
      <c r="D639" s="2">
        <f t="shared" si="22"/>
        <v>12.5</v>
      </c>
    </row>
    <row r="640" spans="1:4" x14ac:dyDescent="0.2">
      <c r="A640">
        <v>639</v>
      </c>
      <c r="B640">
        <v>0</v>
      </c>
      <c r="C640">
        <f t="shared" si="21"/>
        <v>1369</v>
      </c>
      <c r="D640" s="2">
        <f t="shared" si="22"/>
        <v>12.5</v>
      </c>
    </row>
    <row r="641" spans="1:4" x14ac:dyDescent="0.2">
      <c r="A641">
        <v>640</v>
      </c>
      <c r="B641">
        <v>0</v>
      </c>
      <c r="C641">
        <f t="shared" si="21"/>
        <v>1370</v>
      </c>
      <c r="D641" s="2">
        <f t="shared" si="22"/>
        <v>12.5</v>
      </c>
    </row>
    <row r="642" spans="1:4" x14ac:dyDescent="0.2">
      <c r="A642">
        <v>641</v>
      </c>
      <c r="B642">
        <v>0</v>
      </c>
      <c r="C642">
        <f t="shared" si="21"/>
        <v>1371</v>
      </c>
      <c r="D642" s="2">
        <f t="shared" si="22"/>
        <v>12.5</v>
      </c>
    </row>
    <row r="643" spans="1:4" x14ac:dyDescent="0.2">
      <c r="A643">
        <v>642</v>
      </c>
      <c r="B643">
        <v>0</v>
      </c>
      <c r="C643">
        <f t="shared" ref="C643:C706" si="23">A643+730</f>
        <v>1372</v>
      </c>
      <c r="D643" s="2">
        <f t="shared" ref="D643:D706" si="24">$I$8</f>
        <v>12.5</v>
      </c>
    </row>
    <row r="644" spans="1:4" x14ac:dyDescent="0.2">
      <c r="A644">
        <v>643</v>
      </c>
      <c r="B644">
        <v>0</v>
      </c>
      <c r="C644">
        <f t="shared" si="23"/>
        <v>1373</v>
      </c>
      <c r="D644" s="2">
        <f t="shared" si="24"/>
        <v>12.5</v>
      </c>
    </row>
    <row r="645" spans="1:4" x14ac:dyDescent="0.2">
      <c r="A645">
        <v>644</v>
      </c>
      <c r="B645">
        <v>0</v>
      </c>
      <c r="C645">
        <f t="shared" si="23"/>
        <v>1374</v>
      </c>
      <c r="D645" s="2">
        <f t="shared" si="24"/>
        <v>12.5</v>
      </c>
    </row>
    <row r="646" spans="1:4" x14ac:dyDescent="0.2">
      <c r="A646">
        <v>645</v>
      </c>
      <c r="B646">
        <v>250</v>
      </c>
      <c r="C646">
        <f t="shared" si="23"/>
        <v>1375</v>
      </c>
      <c r="D646" s="2">
        <f t="shared" si="24"/>
        <v>12.5</v>
      </c>
    </row>
    <row r="647" spans="1:4" x14ac:dyDescent="0.2">
      <c r="A647">
        <v>646</v>
      </c>
      <c r="B647">
        <v>0</v>
      </c>
      <c r="C647">
        <f t="shared" si="23"/>
        <v>1376</v>
      </c>
      <c r="D647" s="2">
        <f t="shared" si="24"/>
        <v>12.5</v>
      </c>
    </row>
    <row r="648" spans="1:4" x14ac:dyDescent="0.2">
      <c r="A648">
        <v>647</v>
      </c>
      <c r="B648">
        <v>0</v>
      </c>
      <c r="C648">
        <f t="shared" si="23"/>
        <v>1377</v>
      </c>
      <c r="D648" s="2">
        <f t="shared" si="24"/>
        <v>12.5</v>
      </c>
    </row>
    <row r="649" spans="1:4" x14ac:dyDescent="0.2">
      <c r="A649">
        <v>648</v>
      </c>
      <c r="B649">
        <v>0</v>
      </c>
      <c r="C649">
        <f t="shared" si="23"/>
        <v>1378</v>
      </c>
      <c r="D649" s="2">
        <f t="shared" si="24"/>
        <v>12.5</v>
      </c>
    </row>
    <row r="650" spans="1:4" x14ac:dyDescent="0.2">
      <c r="A650">
        <v>649</v>
      </c>
      <c r="B650">
        <v>0</v>
      </c>
      <c r="C650">
        <f t="shared" si="23"/>
        <v>1379</v>
      </c>
      <c r="D650" s="2">
        <f t="shared" si="24"/>
        <v>12.5</v>
      </c>
    </row>
    <row r="651" spans="1:4" x14ac:dyDescent="0.2">
      <c r="A651">
        <v>650</v>
      </c>
      <c r="B651">
        <v>0</v>
      </c>
      <c r="C651">
        <f t="shared" si="23"/>
        <v>1380</v>
      </c>
      <c r="D651" s="2">
        <f t="shared" si="24"/>
        <v>12.5</v>
      </c>
    </row>
    <row r="652" spans="1:4" x14ac:dyDescent="0.2">
      <c r="A652">
        <v>651</v>
      </c>
      <c r="B652">
        <v>0</v>
      </c>
      <c r="C652">
        <f t="shared" si="23"/>
        <v>1381</v>
      </c>
      <c r="D652" s="2">
        <f t="shared" si="24"/>
        <v>12.5</v>
      </c>
    </row>
    <row r="653" spans="1:4" x14ac:dyDescent="0.2">
      <c r="A653">
        <v>652</v>
      </c>
      <c r="B653">
        <v>0</v>
      </c>
      <c r="C653">
        <f t="shared" si="23"/>
        <v>1382</v>
      </c>
      <c r="D653" s="2">
        <f t="shared" si="24"/>
        <v>12.5</v>
      </c>
    </row>
    <row r="654" spans="1:4" x14ac:dyDescent="0.2">
      <c r="A654">
        <v>653</v>
      </c>
      <c r="B654">
        <v>0</v>
      </c>
      <c r="C654">
        <f t="shared" si="23"/>
        <v>1383</v>
      </c>
      <c r="D654" s="2">
        <f t="shared" si="24"/>
        <v>12.5</v>
      </c>
    </row>
    <row r="655" spans="1:4" x14ac:dyDescent="0.2">
      <c r="A655">
        <v>654</v>
      </c>
      <c r="B655">
        <v>0</v>
      </c>
      <c r="C655">
        <f t="shared" si="23"/>
        <v>1384</v>
      </c>
      <c r="D655" s="2">
        <f t="shared" si="24"/>
        <v>12.5</v>
      </c>
    </row>
    <row r="656" spans="1:4" x14ac:dyDescent="0.2">
      <c r="A656">
        <v>655</v>
      </c>
      <c r="B656">
        <v>0</v>
      </c>
      <c r="C656">
        <f t="shared" si="23"/>
        <v>1385</v>
      </c>
      <c r="D656" s="2">
        <f t="shared" si="24"/>
        <v>12.5</v>
      </c>
    </row>
    <row r="657" spans="1:4" x14ac:dyDescent="0.2">
      <c r="A657">
        <v>656</v>
      </c>
      <c r="B657">
        <v>0</v>
      </c>
      <c r="C657">
        <f t="shared" si="23"/>
        <v>1386</v>
      </c>
      <c r="D657" s="2">
        <f t="shared" si="24"/>
        <v>12.5</v>
      </c>
    </row>
    <row r="658" spans="1:4" x14ac:dyDescent="0.2">
      <c r="A658">
        <v>657</v>
      </c>
      <c r="B658">
        <v>0</v>
      </c>
      <c r="C658">
        <f t="shared" si="23"/>
        <v>1387</v>
      </c>
      <c r="D658" s="2">
        <f t="shared" si="24"/>
        <v>12.5</v>
      </c>
    </row>
    <row r="659" spans="1:4" x14ac:dyDescent="0.2">
      <c r="A659">
        <v>658</v>
      </c>
      <c r="B659">
        <v>0</v>
      </c>
      <c r="C659">
        <f t="shared" si="23"/>
        <v>1388</v>
      </c>
      <c r="D659" s="2">
        <f t="shared" si="24"/>
        <v>12.5</v>
      </c>
    </row>
    <row r="660" spans="1:4" x14ac:dyDescent="0.2">
      <c r="A660">
        <v>659</v>
      </c>
      <c r="B660">
        <v>0</v>
      </c>
      <c r="C660">
        <f t="shared" si="23"/>
        <v>1389</v>
      </c>
      <c r="D660" s="2">
        <f t="shared" si="24"/>
        <v>12.5</v>
      </c>
    </row>
    <row r="661" spans="1:4" x14ac:dyDescent="0.2">
      <c r="A661">
        <v>660</v>
      </c>
      <c r="B661">
        <v>0</v>
      </c>
      <c r="C661">
        <f t="shared" si="23"/>
        <v>1390</v>
      </c>
      <c r="D661" s="2">
        <f t="shared" si="24"/>
        <v>12.5</v>
      </c>
    </row>
    <row r="662" spans="1:4" x14ac:dyDescent="0.2">
      <c r="A662">
        <v>661</v>
      </c>
      <c r="B662">
        <v>0</v>
      </c>
      <c r="C662">
        <f t="shared" si="23"/>
        <v>1391</v>
      </c>
      <c r="D662" s="2">
        <f t="shared" si="24"/>
        <v>12.5</v>
      </c>
    </row>
    <row r="663" spans="1:4" x14ac:dyDescent="0.2">
      <c r="A663">
        <v>662</v>
      </c>
      <c r="B663">
        <v>0</v>
      </c>
      <c r="C663">
        <f t="shared" si="23"/>
        <v>1392</v>
      </c>
      <c r="D663" s="2">
        <f t="shared" si="24"/>
        <v>12.5</v>
      </c>
    </row>
    <row r="664" spans="1:4" x14ac:dyDescent="0.2">
      <c r="A664">
        <v>663</v>
      </c>
      <c r="B664">
        <v>0</v>
      </c>
      <c r="C664">
        <f t="shared" si="23"/>
        <v>1393</v>
      </c>
      <c r="D664" s="2">
        <f t="shared" si="24"/>
        <v>12.5</v>
      </c>
    </row>
    <row r="665" spans="1:4" x14ac:dyDescent="0.2">
      <c r="A665">
        <v>664</v>
      </c>
      <c r="B665">
        <v>0</v>
      </c>
      <c r="C665">
        <f t="shared" si="23"/>
        <v>1394</v>
      </c>
      <c r="D665" s="2">
        <f t="shared" si="24"/>
        <v>12.5</v>
      </c>
    </row>
    <row r="666" spans="1:4" x14ac:dyDescent="0.2">
      <c r="A666">
        <v>665</v>
      </c>
      <c r="B666">
        <v>0</v>
      </c>
      <c r="C666">
        <f t="shared" si="23"/>
        <v>1395</v>
      </c>
      <c r="D666" s="2">
        <f t="shared" si="24"/>
        <v>12.5</v>
      </c>
    </row>
    <row r="667" spans="1:4" x14ac:dyDescent="0.2">
      <c r="A667">
        <v>666</v>
      </c>
      <c r="B667">
        <v>0</v>
      </c>
      <c r="C667">
        <f t="shared" si="23"/>
        <v>1396</v>
      </c>
      <c r="D667" s="2">
        <f t="shared" si="24"/>
        <v>12.5</v>
      </c>
    </row>
    <row r="668" spans="1:4" x14ac:dyDescent="0.2">
      <c r="A668">
        <v>667</v>
      </c>
      <c r="B668">
        <v>0</v>
      </c>
      <c r="C668">
        <f t="shared" si="23"/>
        <v>1397</v>
      </c>
      <c r="D668" s="2">
        <f t="shared" si="24"/>
        <v>12.5</v>
      </c>
    </row>
    <row r="669" spans="1:4" x14ac:dyDescent="0.2">
      <c r="A669">
        <v>668</v>
      </c>
      <c r="B669">
        <v>0</v>
      </c>
      <c r="C669">
        <f t="shared" si="23"/>
        <v>1398</v>
      </c>
      <c r="D669" s="2">
        <f t="shared" si="24"/>
        <v>12.5</v>
      </c>
    </row>
    <row r="670" spans="1:4" x14ac:dyDescent="0.2">
      <c r="A670">
        <v>669</v>
      </c>
      <c r="B670">
        <v>0</v>
      </c>
      <c r="C670">
        <f t="shared" si="23"/>
        <v>1399</v>
      </c>
      <c r="D670" s="2">
        <f t="shared" si="24"/>
        <v>12.5</v>
      </c>
    </row>
    <row r="671" spans="1:4" x14ac:dyDescent="0.2">
      <c r="A671" s="5">
        <v>670</v>
      </c>
      <c r="B671" s="5">
        <v>250</v>
      </c>
      <c r="C671">
        <f t="shared" si="23"/>
        <v>1400</v>
      </c>
      <c r="D671" s="2">
        <f t="shared" si="24"/>
        <v>12.5</v>
      </c>
    </row>
    <row r="672" spans="1:4" x14ac:dyDescent="0.2">
      <c r="A672" s="5">
        <v>671</v>
      </c>
      <c r="B672" s="5">
        <v>0</v>
      </c>
      <c r="C672">
        <f t="shared" si="23"/>
        <v>1401</v>
      </c>
      <c r="D672" s="2">
        <f t="shared" si="24"/>
        <v>12.5</v>
      </c>
    </row>
    <row r="673" spans="1:4" x14ac:dyDescent="0.2">
      <c r="A673" s="5">
        <v>672</v>
      </c>
      <c r="B673" s="5">
        <v>0</v>
      </c>
      <c r="C673">
        <f t="shared" si="23"/>
        <v>1402</v>
      </c>
      <c r="D673" s="2">
        <f t="shared" si="24"/>
        <v>12.5</v>
      </c>
    </row>
    <row r="674" spans="1:4" x14ac:dyDescent="0.2">
      <c r="A674" s="5">
        <v>673</v>
      </c>
      <c r="B674" s="5">
        <v>250</v>
      </c>
      <c r="C674">
        <f t="shared" si="23"/>
        <v>1403</v>
      </c>
      <c r="D674" s="2">
        <f t="shared" si="24"/>
        <v>12.5</v>
      </c>
    </row>
    <row r="675" spans="1:4" x14ac:dyDescent="0.2">
      <c r="A675" s="5">
        <v>674</v>
      </c>
      <c r="B675" s="5">
        <v>0</v>
      </c>
      <c r="C675">
        <f t="shared" si="23"/>
        <v>1404</v>
      </c>
      <c r="D675" s="2">
        <f t="shared" si="24"/>
        <v>12.5</v>
      </c>
    </row>
    <row r="676" spans="1:4" x14ac:dyDescent="0.2">
      <c r="A676" s="5">
        <v>675</v>
      </c>
      <c r="B676" s="5">
        <v>0</v>
      </c>
      <c r="C676">
        <f t="shared" si="23"/>
        <v>1405</v>
      </c>
      <c r="D676" s="2">
        <f t="shared" si="24"/>
        <v>12.5</v>
      </c>
    </row>
    <row r="677" spans="1:4" x14ac:dyDescent="0.2">
      <c r="A677" s="5">
        <v>676</v>
      </c>
      <c r="B677" s="5">
        <v>0</v>
      </c>
      <c r="C677">
        <f t="shared" si="23"/>
        <v>1406</v>
      </c>
      <c r="D677" s="2">
        <f t="shared" si="24"/>
        <v>12.5</v>
      </c>
    </row>
    <row r="678" spans="1:4" x14ac:dyDescent="0.2">
      <c r="A678" s="5">
        <v>677</v>
      </c>
      <c r="B678" s="5">
        <v>0</v>
      </c>
      <c r="C678">
        <f t="shared" si="23"/>
        <v>1407</v>
      </c>
      <c r="D678" s="2">
        <f t="shared" si="24"/>
        <v>12.5</v>
      </c>
    </row>
    <row r="679" spans="1:4" x14ac:dyDescent="0.2">
      <c r="A679" s="5">
        <v>678</v>
      </c>
      <c r="B679" s="5">
        <v>0</v>
      </c>
      <c r="C679">
        <f t="shared" si="23"/>
        <v>1408</v>
      </c>
      <c r="D679" s="2">
        <f t="shared" si="24"/>
        <v>12.5</v>
      </c>
    </row>
    <row r="680" spans="1:4" x14ac:dyDescent="0.2">
      <c r="A680" s="5">
        <v>679</v>
      </c>
      <c r="B680" s="5">
        <v>0</v>
      </c>
      <c r="C680">
        <f t="shared" si="23"/>
        <v>1409</v>
      </c>
      <c r="D680" s="2">
        <f t="shared" si="24"/>
        <v>12.5</v>
      </c>
    </row>
    <row r="681" spans="1:4" x14ac:dyDescent="0.2">
      <c r="A681" s="5">
        <v>680</v>
      </c>
      <c r="B681" s="5">
        <v>0</v>
      </c>
      <c r="C681">
        <f t="shared" si="23"/>
        <v>1410</v>
      </c>
      <c r="D681" s="2">
        <f t="shared" si="24"/>
        <v>12.5</v>
      </c>
    </row>
    <row r="682" spans="1:4" x14ac:dyDescent="0.2">
      <c r="A682" s="5">
        <v>681</v>
      </c>
      <c r="B682" s="5">
        <v>0</v>
      </c>
      <c r="C682">
        <f t="shared" si="23"/>
        <v>1411</v>
      </c>
      <c r="D682" s="2">
        <f t="shared" si="24"/>
        <v>12.5</v>
      </c>
    </row>
    <row r="683" spans="1:4" x14ac:dyDescent="0.2">
      <c r="A683" s="5">
        <v>682</v>
      </c>
      <c r="B683" s="5">
        <v>0</v>
      </c>
      <c r="C683">
        <f t="shared" si="23"/>
        <v>1412</v>
      </c>
      <c r="D683" s="2">
        <f t="shared" si="24"/>
        <v>12.5</v>
      </c>
    </row>
    <row r="684" spans="1:4" x14ac:dyDescent="0.2">
      <c r="A684" s="5">
        <v>683</v>
      </c>
      <c r="B684" s="5">
        <v>0</v>
      </c>
      <c r="C684">
        <f t="shared" si="23"/>
        <v>1413</v>
      </c>
      <c r="D684" s="2">
        <f t="shared" si="24"/>
        <v>12.5</v>
      </c>
    </row>
    <row r="685" spans="1:4" x14ac:dyDescent="0.2">
      <c r="A685" s="5">
        <v>684</v>
      </c>
      <c r="B685" s="5">
        <v>0</v>
      </c>
      <c r="C685">
        <f t="shared" si="23"/>
        <v>1414</v>
      </c>
      <c r="D685" s="2">
        <f t="shared" si="24"/>
        <v>12.5</v>
      </c>
    </row>
    <row r="686" spans="1:4" x14ac:dyDescent="0.2">
      <c r="A686" s="5">
        <v>685</v>
      </c>
      <c r="B686" s="5">
        <v>0</v>
      </c>
      <c r="C686">
        <f t="shared" si="23"/>
        <v>1415</v>
      </c>
      <c r="D686" s="2">
        <f t="shared" si="24"/>
        <v>12.5</v>
      </c>
    </row>
    <row r="687" spans="1:4" x14ac:dyDescent="0.2">
      <c r="A687" s="5">
        <v>686</v>
      </c>
      <c r="B687" s="5">
        <v>0</v>
      </c>
      <c r="C687">
        <f t="shared" si="23"/>
        <v>1416</v>
      </c>
      <c r="D687" s="2">
        <f t="shared" si="24"/>
        <v>12.5</v>
      </c>
    </row>
    <row r="688" spans="1:4" x14ac:dyDescent="0.2">
      <c r="A688" s="5">
        <v>687</v>
      </c>
      <c r="B688" s="5">
        <v>0</v>
      </c>
      <c r="C688">
        <f t="shared" si="23"/>
        <v>1417</v>
      </c>
      <c r="D688" s="2">
        <f t="shared" si="24"/>
        <v>12.5</v>
      </c>
    </row>
    <row r="689" spans="1:5" x14ac:dyDescent="0.2">
      <c r="A689" s="5">
        <v>688</v>
      </c>
      <c r="B689" s="5">
        <v>0</v>
      </c>
      <c r="C689">
        <f t="shared" si="23"/>
        <v>1418</v>
      </c>
      <c r="D689" s="2">
        <f t="shared" si="24"/>
        <v>12.5</v>
      </c>
    </row>
    <row r="690" spans="1:5" x14ac:dyDescent="0.2">
      <c r="A690" s="5">
        <v>689</v>
      </c>
      <c r="B690" s="5">
        <v>0</v>
      </c>
      <c r="C690">
        <f t="shared" si="23"/>
        <v>1419</v>
      </c>
      <c r="D690" s="2">
        <f t="shared" si="24"/>
        <v>12.5</v>
      </c>
    </row>
    <row r="691" spans="1:5" x14ac:dyDescent="0.2">
      <c r="A691" s="5">
        <v>690</v>
      </c>
      <c r="B691" s="5">
        <v>0</v>
      </c>
      <c r="C691">
        <f t="shared" si="23"/>
        <v>1420</v>
      </c>
      <c r="D691" s="2">
        <f t="shared" si="24"/>
        <v>12.5</v>
      </c>
    </row>
    <row r="692" spans="1:5" x14ac:dyDescent="0.2">
      <c r="A692" s="5">
        <v>691</v>
      </c>
      <c r="B692" s="5">
        <v>0</v>
      </c>
      <c r="C692">
        <f t="shared" si="23"/>
        <v>1421</v>
      </c>
      <c r="D692" s="2">
        <f t="shared" si="24"/>
        <v>12.5</v>
      </c>
    </row>
    <row r="693" spans="1:5" x14ac:dyDescent="0.2">
      <c r="A693" s="5">
        <v>692</v>
      </c>
      <c r="B693" s="5">
        <v>0</v>
      </c>
      <c r="C693">
        <f t="shared" si="23"/>
        <v>1422</v>
      </c>
      <c r="D693" s="2">
        <f t="shared" si="24"/>
        <v>12.5</v>
      </c>
    </row>
    <row r="694" spans="1:5" x14ac:dyDescent="0.2">
      <c r="A694" s="5">
        <v>693</v>
      </c>
      <c r="B694" s="5">
        <v>0</v>
      </c>
      <c r="C694">
        <f t="shared" si="23"/>
        <v>1423</v>
      </c>
      <c r="D694" s="2">
        <f t="shared" si="24"/>
        <v>12.5</v>
      </c>
    </row>
    <row r="695" spans="1:5" x14ac:dyDescent="0.2">
      <c r="A695" s="5">
        <v>694</v>
      </c>
      <c r="B695" s="5">
        <v>0</v>
      </c>
      <c r="C695">
        <f t="shared" si="23"/>
        <v>1424</v>
      </c>
      <c r="D695" s="2">
        <f t="shared" si="24"/>
        <v>12.5</v>
      </c>
    </row>
    <row r="696" spans="1:5" x14ac:dyDescent="0.2">
      <c r="A696" s="5">
        <v>695</v>
      </c>
      <c r="B696" s="5">
        <v>0</v>
      </c>
      <c r="C696">
        <f t="shared" si="23"/>
        <v>1425</v>
      </c>
      <c r="D696" s="2">
        <f t="shared" si="24"/>
        <v>12.5</v>
      </c>
    </row>
    <row r="697" spans="1:5" x14ac:dyDescent="0.2">
      <c r="A697" s="5">
        <v>696</v>
      </c>
      <c r="B697" s="5">
        <v>0</v>
      </c>
      <c r="C697">
        <f t="shared" si="23"/>
        <v>1426</v>
      </c>
      <c r="D697" s="2">
        <f t="shared" si="24"/>
        <v>12.5</v>
      </c>
    </row>
    <row r="698" spans="1:5" x14ac:dyDescent="0.2">
      <c r="A698" s="5">
        <v>697</v>
      </c>
      <c r="B698" s="5">
        <v>0</v>
      </c>
      <c r="C698">
        <f t="shared" si="23"/>
        <v>1427</v>
      </c>
      <c r="D698" s="2">
        <f t="shared" si="24"/>
        <v>12.5</v>
      </c>
    </row>
    <row r="699" spans="1:5" x14ac:dyDescent="0.2">
      <c r="A699" s="5">
        <v>698</v>
      </c>
      <c r="B699" s="5">
        <v>0</v>
      </c>
      <c r="C699">
        <f t="shared" si="23"/>
        <v>1428</v>
      </c>
      <c r="D699" s="2">
        <f t="shared" si="24"/>
        <v>12.5</v>
      </c>
    </row>
    <row r="700" spans="1:5" x14ac:dyDescent="0.2">
      <c r="A700" s="5">
        <v>699</v>
      </c>
      <c r="B700" s="5">
        <v>0</v>
      </c>
      <c r="C700">
        <f t="shared" si="23"/>
        <v>1429</v>
      </c>
      <c r="D700" s="2">
        <f t="shared" si="24"/>
        <v>12.5</v>
      </c>
    </row>
    <row r="701" spans="1:5" x14ac:dyDescent="0.2">
      <c r="A701" s="5">
        <v>700</v>
      </c>
      <c r="B701" s="5">
        <v>250</v>
      </c>
      <c r="C701" s="6">
        <f t="shared" si="23"/>
        <v>1430</v>
      </c>
      <c r="D701" s="2">
        <f t="shared" si="24"/>
        <v>12.5</v>
      </c>
      <c r="E701" s="9">
        <f>D701*(1460-C701)/30</f>
        <v>12.5</v>
      </c>
    </row>
    <row r="702" spans="1:5" x14ac:dyDescent="0.2">
      <c r="A702" s="5">
        <v>701</v>
      </c>
      <c r="B702" s="5">
        <v>0</v>
      </c>
      <c r="C702" s="6">
        <f t="shared" si="23"/>
        <v>1431</v>
      </c>
      <c r="D702" s="2">
        <f t="shared" si="24"/>
        <v>12.5</v>
      </c>
      <c r="E702" s="9">
        <f t="shared" ref="E702:E731" si="25">D702*(1460-C702)/30</f>
        <v>12.083333333333334</v>
      </c>
    </row>
    <row r="703" spans="1:5" x14ac:dyDescent="0.2">
      <c r="A703" s="5">
        <v>702</v>
      </c>
      <c r="B703" s="5">
        <v>0</v>
      </c>
      <c r="C703" s="6">
        <f t="shared" si="23"/>
        <v>1432</v>
      </c>
      <c r="D703" s="2">
        <f t="shared" si="24"/>
        <v>12.5</v>
      </c>
      <c r="E703" s="9">
        <f t="shared" si="25"/>
        <v>11.666666666666666</v>
      </c>
    </row>
    <row r="704" spans="1:5" x14ac:dyDescent="0.2">
      <c r="A704" s="5">
        <v>703</v>
      </c>
      <c r="B704" s="5">
        <v>0</v>
      </c>
      <c r="C704" s="6">
        <f t="shared" si="23"/>
        <v>1433</v>
      </c>
      <c r="D704" s="2">
        <f t="shared" si="24"/>
        <v>12.5</v>
      </c>
      <c r="E704" s="9">
        <f t="shared" si="25"/>
        <v>11.25</v>
      </c>
    </row>
    <row r="705" spans="1:5" x14ac:dyDescent="0.2">
      <c r="A705" s="5">
        <v>704</v>
      </c>
      <c r="B705" s="5">
        <v>0</v>
      </c>
      <c r="C705" s="6">
        <f t="shared" si="23"/>
        <v>1434</v>
      </c>
      <c r="D705" s="2">
        <f t="shared" si="24"/>
        <v>12.5</v>
      </c>
      <c r="E705" s="9">
        <f t="shared" si="25"/>
        <v>10.833333333333334</v>
      </c>
    </row>
    <row r="706" spans="1:5" x14ac:dyDescent="0.2">
      <c r="A706" s="5">
        <v>705</v>
      </c>
      <c r="B706" s="5">
        <v>0</v>
      </c>
      <c r="C706" s="6">
        <f t="shared" si="23"/>
        <v>1435</v>
      </c>
      <c r="D706" s="2">
        <f t="shared" si="24"/>
        <v>12.5</v>
      </c>
      <c r="E706" s="9">
        <f t="shared" si="25"/>
        <v>10.416666666666666</v>
      </c>
    </row>
    <row r="707" spans="1:5" x14ac:dyDescent="0.2">
      <c r="A707" s="5">
        <v>706</v>
      </c>
      <c r="B707" s="5">
        <v>0</v>
      </c>
      <c r="C707" s="6">
        <f t="shared" ref="C707:C731" si="26">A707+730</f>
        <v>1436</v>
      </c>
      <c r="D707" s="2">
        <f t="shared" ref="D707:D731" si="27">$I$8</f>
        <v>12.5</v>
      </c>
      <c r="E707" s="9">
        <f t="shared" si="25"/>
        <v>10</v>
      </c>
    </row>
    <row r="708" spans="1:5" x14ac:dyDescent="0.2">
      <c r="A708" s="5">
        <v>707</v>
      </c>
      <c r="B708" s="5">
        <v>0</v>
      </c>
      <c r="C708" s="6">
        <f t="shared" si="26"/>
        <v>1437</v>
      </c>
      <c r="D708" s="2">
        <f t="shared" si="27"/>
        <v>12.5</v>
      </c>
      <c r="E708" s="9">
        <f t="shared" si="25"/>
        <v>9.5833333333333339</v>
      </c>
    </row>
    <row r="709" spans="1:5" x14ac:dyDescent="0.2">
      <c r="A709" s="5">
        <v>708</v>
      </c>
      <c r="B709" s="5">
        <v>0</v>
      </c>
      <c r="C709" s="6">
        <f t="shared" si="26"/>
        <v>1438</v>
      </c>
      <c r="D709" s="2">
        <f t="shared" si="27"/>
        <v>12.5</v>
      </c>
      <c r="E709" s="9">
        <f t="shared" si="25"/>
        <v>9.1666666666666661</v>
      </c>
    </row>
    <row r="710" spans="1:5" x14ac:dyDescent="0.2">
      <c r="A710" s="5">
        <v>709</v>
      </c>
      <c r="B710" s="5">
        <v>0</v>
      </c>
      <c r="C710" s="6">
        <f t="shared" si="26"/>
        <v>1439</v>
      </c>
      <c r="D710" s="2">
        <f t="shared" si="27"/>
        <v>12.5</v>
      </c>
      <c r="E710" s="9">
        <f t="shared" si="25"/>
        <v>8.75</v>
      </c>
    </row>
    <row r="711" spans="1:5" x14ac:dyDescent="0.2">
      <c r="A711" s="5">
        <v>710</v>
      </c>
      <c r="B711" s="5">
        <v>0</v>
      </c>
      <c r="C711" s="6">
        <f t="shared" si="26"/>
        <v>1440</v>
      </c>
      <c r="D711" s="2">
        <f t="shared" si="27"/>
        <v>12.5</v>
      </c>
      <c r="E711" s="9">
        <f t="shared" si="25"/>
        <v>8.3333333333333339</v>
      </c>
    </row>
    <row r="712" spans="1:5" x14ac:dyDescent="0.2">
      <c r="A712" s="5">
        <v>711</v>
      </c>
      <c r="B712" s="5">
        <v>0</v>
      </c>
      <c r="C712" s="6">
        <f t="shared" si="26"/>
        <v>1441</v>
      </c>
      <c r="D712" s="2">
        <f t="shared" si="27"/>
        <v>12.5</v>
      </c>
      <c r="E712" s="9">
        <f t="shared" si="25"/>
        <v>7.916666666666667</v>
      </c>
    </row>
    <row r="713" spans="1:5" x14ac:dyDescent="0.2">
      <c r="A713" s="5">
        <v>712</v>
      </c>
      <c r="B713" s="5">
        <v>0</v>
      </c>
      <c r="C713" s="6">
        <f t="shared" si="26"/>
        <v>1442</v>
      </c>
      <c r="D713" s="2">
        <f t="shared" si="27"/>
        <v>12.5</v>
      </c>
      <c r="E713" s="9">
        <f t="shared" si="25"/>
        <v>7.5</v>
      </c>
    </row>
    <row r="714" spans="1:5" x14ac:dyDescent="0.2">
      <c r="A714" s="5">
        <v>713</v>
      </c>
      <c r="B714" s="5">
        <v>0</v>
      </c>
      <c r="C714" s="6">
        <f t="shared" si="26"/>
        <v>1443</v>
      </c>
      <c r="D714" s="2">
        <f t="shared" si="27"/>
        <v>12.5</v>
      </c>
      <c r="E714" s="9">
        <f t="shared" si="25"/>
        <v>7.083333333333333</v>
      </c>
    </row>
    <row r="715" spans="1:5" x14ac:dyDescent="0.2">
      <c r="A715" s="5">
        <v>714</v>
      </c>
      <c r="B715" s="5">
        <v>0</v>
      </c>
      <c r="C715" s="6">
        <f t="shared" si="26"/>
        <v>1444</v>
      </c>
      <c r="D715" s="2">
        <f t="shared" si="27"/>
        <v>12.5</v>
      </c>
      <c r="E715" s="9">
        <f t="shared" si="25"/>
        <v>6.666666666666667</v>
      </c>
    </row>
    <row r="716" spans="1:5" x14ac:dyDescent="0.2">
      <c r="A716" s="5">
        <v>715</v>
      </c>
      <c r="B716" s="5">
        <v>0</v>
      </c>
      <c r="C716" s="6">
        <f t="shared" si="26"/>
        <v>1445</v>
      </c>
      <c r="D716" s="2">
        <f t="shared" si="27"/>
        <v>12.5</v>
      </c>
      <c r="E716" s="9">
        <f t="shared" si="25"/>
        <v>6.25</v>
      </c>
    </row>
    <row r="717" spans="1:5" x14ac:dyDescent="0.2">
      <c r="A717" s="5">
        <v>716</v>
      </c>
      <c r="B717" s="5">
        <v>0</v>
      </c>
      <c r="C717" s="6">
        <f t="shared" si="26"/>
        <v>1446</v>
      </c>
      <c r="D717" s="2">
        <f t="shared" si="27"/>
        <v>12.5</v>
      </c>
      <c r="E717" s="9">
        <f t="shared" si="25"/>
        <v>5.833333333333333</v>
      </c>
    </row>
    <row r="718" spans="1:5" x14ac:dyDescent="0.2">
      <c r="A718" s="5">
        <v>717</v>
      </c>
      <c r="B718" s="5">
        <v>0</v>
      </c>
      <c r="C718" s="6">
        <f t="shared" si="26"/>
        <v>1447</v>
      </c>
      <c r="D718" s="2">
        <f t="shared" si="27"/>
        <v>12.5</v>
      </c>
      <c r="E718" s="9">
        <f t="shared" si="25"/>
        <v>5.416666666666667</v>
      </c>
    </row>
    <row r="719" spans="1:5" x14ac:dyDescent="0.2">
      <c r="A719" s="5">
        <v>718</v>
      </c>
      <c r="B719" s="5">
        <v>0</v>
      </c>
      <c r="C719" s="6">
        <f t="shared" si="26"/>
        <v>1448</v>
      </c>
      <c r="D719" s="2">
        <f t="shared" si="27"/>
        <v>12.5</v>
      </c>
      <c r="E719" s="9">
        <f t="shared" si="25"/>
        <v>5</v>
      </c>
    </row>
    <row r="720" spans="1:5" x14ac:dyDescent="0.2">
      <c r="A720" s="5">
        <v>719</v>
      </c>
      <c r="B720" s="5">
        <v>0</v>
      </c>
      <c r="C720" s="6">
        <f t="shared" si="26"/>
        <v>1449</v>
      </c>
      <c r="D720" s="2">
        <f t="shared" si="27"/>
        <v>12.5</v>
      </c>
      <c r="E720" s="9">
        <f t="shared" si="25"/>
        <v>4.583333333333333</v>
      </c>
    </row>
    <row r="721" spans="1:5" x14ac:dyDescent="0.2">
      <c r="A721" s="5">
        <v>720</v>
      </c>
      <c r="B721" s="5">
        <v>0</v>
      </c>
      <c r="C721" s="6">
        <f t="shared" si="26"/>
        <v>1450</v>
      </c>
      <c r="D721" s="2">
        <f t="shared" si="27"/>
        <v>12.5</v>
      </c>
      <c r="E721" s="9">
        <f t="shared" si="25"/>
        <v>4.166666666666667</v>
      </c>
    </row>
    <row r="722" spans="1:5" x14ac:dyDescent="0.2">
      <c r="A722" s="5">
        <v>721</v>
      </c>
      <c r="B722" s="5">
        <v>0</v>
      </c>
      <c r="C722" s="6">
        <f t="shared" si="26"/>
        <v>1451</v>
      </c>
      <c r="D722" s="2">
        <f t="shared" si="27"/>
        <v>12.5</v>
      </c>
      <c r="E722" s="9">
        <f t="shared" si="25"/>
        <v>3.75</v>
      </c>
    </row>
    <row r="723" spans="1:5" x14ac:dyDescent="0.2">
      <c r="A723" s="5">
        <v>722</v>
      </c>
      <c r="B723" s="5">
        <v>0</v>
      </c>
      <c r="C723" s="6">
        <f t="shared" si="26"/>
        <v>1452</v>
      </c>
      <c r="D723" s="2">
        <f t="shared" si="27"/>
        <v>12.5</v>
      </c>
      <c r="E723" s="9">
        <f t="shared" si="25"/>
        <v>3.3333333333333335</v>
      </c>
    </row>
    <row r="724" spans="1:5" x14ac:dyDescent="0.2">
      <c r="A724" s="5">
        <v>723</v>
      </c>
      <c r="B724" s="5">
        <v>0</v>
      </c>
      <c r="C724" s="6">
        <f t="shared" si="26"/>
        <v>1453</v>
      </c>
      <c r="D724" s="2">
        <f t="shared" si="27"/>
        <v>12.5</v>
      </c>
      <c r="E724" s="9">
        <f t="shared" si="25"/>
        <v>2.9166666666666665</v>
      </c>
    </row>
    <row r="725" spans="1:5" x14ac:dyDescent="0.2">
      <c r="A725" s="5">
        <v>724</v>
      </c>
      <c r="B725" s="5">
        <v>0</v>
      </c>
      <c r="C725" s="6">
        <f t="shared" si="26"/>
        <v>1454</v>
      </c>
      <c r="D725" s="2">
        <f t="shared" si="27"/>
        <v>12.5</v>
      </c>
      <c r="E725" s="9">
        <f t="shared" si="25"/>
        <v>2.5</v>
      </c>
    </row>
    <row r="726" spans="1:5" x14ac:dyDescent="0.2">
      <c r="A726" s="5">
        <v>725</v>
      </c>
      <c r="B726" s="5">
        <v>0</v>
      </c>
      <c r="C726" s="6">
        <f t="shared" si="26"/>
        <v>1455</v>
      </c>
      <c r="D726" s="2">
        <f t="shared" si="27"/>
        <v>12.5</v>
      </c>
      <c r="E726" s="9">
        <f t="shared" si="25"/>
        <v>2.0833333333333335</v>
      </c>
    </row>
    <row r="727" spans="1:5" x14ac:dyDescent="0.2">
      <c r="A727" s="5">
        <v>726</v>
      </c>
      <c r="B727" s="5">
        <v>0</v>
      </c>
      <c r="C727" s="6">
        <f t="shared" si="26"/>
        <v>1456</v>
      </c>
      <c r="D727" s="2">
        <f t="shared" si="27"/>
        <v>12.5</v>
      </c>
      <c r="E727" s="9">
        <f t="shared" si="25"/>
        <v>1.6666666666666667</v>
      </c>
    </row>
    <row r="728" spans="1:5" x14ac:dyDescent="0.2">
      <c r="A728" s="5">
        <v>727</v>
      </c>
      <c r="B728" s="5">
        <v>0</v>
      </c>
      <c r="C728" s="6">
        <f t="shared" si="26"/>
        <v>1457</v>
      </c>
      <c r="D728" s="2">
        <f t="shared" si="27"/>
        <v>12.5</v>
      </c>
      <c r="E728" s="9">
        <f t="shared" si="25"/>
        <v>1.25</v>
      </c>
    </row>
    <row r="729" spans="1:5" x14ac:dyDescent="0.2">
      <c r="A729" s="5">
        <v>728</v>
      </c>
      <c r="B729" s="5">
        <v>0</v>
      </c>
      <c r="C729" s="6">
        <f t="shared" si="26"/>
        <v>1458</v>
      </c>
      <c r="D729" s="2">
        <f t="shared" si="27"/>
        <v>12.5</v>
      </c>
      <c r="E729" s="9">
        <f t="shared" si="25"/>
        <v>0.83333333333333337</v>
      </c>
    </row>
    <row r="730" spans="1:5" x14ac:dyDescent="0.2">
      <c r="A730" s="5">
        <v>729</v>
      </c>
      <c r="B730" s="5">
        <v>0</v>
      </c>
      <c r="C730" s="6">
        <f t="shared" si="26"/>
        <v>1459</v>
      </c>
      <c r="D730" s="2">
        <f t="shared" si="27"/>
        <v>12.5</v>
      </c>
      <c r="E730" s="9">
        <f t="shared" si="25"/>
        <v>0.41666666666666669</v>
      </c>
    </row>
    <row r="731" spans="1:5" x14ac:dyDescent="0.2">
      <c r="A731" s="5">
        <v>730</v>
      </c>
      <c r="B731" s="5">
        <v>0</v>
      </c>
      <c r="C731" s="6">
        <f t="shared" si="26"/>
        <v>1460</v>
      </c>
      <c r="D731" s="2">
        <f t="shared" si="27"/>
        <v>12.5</v>
      </c>
      <c r="E731" s="9">
        <f t="shared" si="25"/>
        <v>0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94</vt:i4>
      </vt:variant>
    </vt:vector>
  </HeadingPairs>
  <TitlesOfParts>
    <vt:vector size="101" baseType="lpstr">
      <vt:lpstr>Summary</vt:lpstr>
      <vt:lpstr>Consolidated data</vt:lpstr>
      <vt:lpstr>Calopeia</vt:lpstr>
      <vt:lpstr>Sorange</vt:lpstr>
      <vt:lpstr>Tyran</vt:lpstr>
      <vt:lpstr>Fardo</vt:lpstr>
      <vt:lpstr>Entworpe</vt:lpstr>
      <vt:lpstr>Adj_prod_LT_Calopeia</vt:lpstr>
      <vt:lpstr>Adj_prod_LT_Fardo</vt:lpstr>
      <vt:lpstr>Adj_prod_LT_Sorange</vt:lpstr>
      <vt:lpstr>Adj_prod_LT_Tyran</vt:lpstr>
      <vt:lpstr>Avg_demand_per_day_Calopeia</vt:lpstr>
      <vt:lpstr>Avg_demand_per_day_Entworpe</vt:lpstr>
      <vt:lpstr>Avg_demand_per_day_Fardo</vt:lpstr>
      <vt:lpstr>Avg_demand_per_day_Sorange</vt:lpstr>
      <vt:lpstr>Avg_demand_per_day_Tyran</vt:lpstr>
      <vt:lpstr>Avg_LT_demand_Calopeia</vt:lpstr>
      <vt:lpstr>Avg_LT_demand_Fardo</vt:lpstr>
      <vt:lpstr>Avg_LT_demand_Sorange</vt:lpstr>
      <vt:lpstr>Avg_LT_demand_Tyran</vt:lpstr>
      <vt:lpstr>Calopeia_capacity_buffer</vt:lpstr>
      <vt:lpstr>Capacity_cost</vt:lpstr>
      <vt:lpstr>Co_Calopeia</vt:lpstr>
      <vt:lpstr>Co_Fardo</vt:lpstr>
      <vt:lpstr>Co_Sorange</vt:lpstr>
      <vt:lpstr>Co_Tyran</vt:lpstr>
      <vt:lpstr>Cu_Calopeia</vt:lpstr>
      <vt:lpstr>Cu_Fardo</vt:lpstr>
      <vt:lpstr>Cu_Sorange</vt:lpstr>
      <vt:lpstr>Cu_Tyran</vt:lpstr>
      <vt:lpstr>Cycle_length_Calopeia</vt:lpstr>
      <vt:lpstr>Cycle_length_Fardo</vt:lpstr>
      <vt:lpstr>Cycle_length_Sorange</vt:lpstr>
      <vt:lpstr>Cycle_length_Tyran</vt:lpstr>
      <vt:lpstr>Effective_LT_Calopeia</vt:lpstr>
      <vt:lpstr>Effective_LT_Fardo</vt:lpstr>
      <vt:lpstr>Effective_LT_Sorange</vt:lpstr>
      <vt:lpstr>Effective_LT_Tyran</vt:lpstr>
      <vt:lpstr>Factory_cost</vt:lpstr>
      <vt:lpstr>Fardo_capacity</vt:lpstr>
      <vt:lpstr>Fardo_capacity_buffer</vt:lpstr>
      <vt:lpstr>First_phase_demand</vt:lpstr>
      <vt:lpstr>First_phase_prod_time</vt:lpstr>
      <vt:lpstr>Forecast_from_day_791_Calopeia</vt:lpstr>
      <vt:lpstr>Forecast_from_day_791_Entworpe</vt:lpstr>
      <vt:lpstr>Forecast_from_day_791_Fardo</vt:lpstr>
      <vt:lpstr>Forecast_from_day_791_Sorange</vt:lpstr>
      <vt:lpstr>Forecast_from_day_791_Tyran</vt:lpstr>
      <vt:lpstr>Forecast_from_day_821_Calopeia</vt:lpstr>
      <vt:lpstr>Forecast_from_day_821_Entworpe</vt:lpstr>
      <vt:lpstr>Forecast_from_day_821_Fardo</vt:lpstr>
      <vt:lpstr>Forecast_from_day_821_Sorange</vt:lpstr>
      <vt:lpstr>Forecast_from_day_821_Tyran</vt:lpstr>
      <vt:lpstr>Holding_cost</vt:lpstr>
      <vt:lpstr>Holding_cost_per_drum_day_Calopeia</vt:lpstr>
      <vt:lpstr>Holding_cost_per_drum_day_Fardo</vt:lpstr>
      <vt:lpstr>Holding_cost_per_drum_day_Sorange</vt:lpstr>
      <vt:lpstr>Holding_cost_per_drum_day_Tyran</vt:lpstr>
      <vt:lpstr>Mailing_cost_continent_Fardo</vt:lpstr>
      <vt:lpstr>Mailing_cost_different_region</vt:lpstr>
      <vt:lpstr>Mailing_cost_same_region</vt:lpstr>
      <vt:lpstr>Original_capacity</vt:lpstr>
      <vt:lpstr>Practical_batch_Calopeia</vt:lpstr>
      <vt:lpstr>Practical_batch_Fardo</vt:lpstr>
      <vt:lpstr>Practical_batch_Sorange</vt:lpstr>
      <vt:lpstr>Practical_batch_Tyran</vt:lpstr>
      <vt:lpstr>Production_cost_per_drum_Calopeia</vt:lpstr>
      <vt:lpstr>Production_cost_per_drum_Fardo</vt:lpstr>
      <vt:lpstr>Production_cost_per_drum_Sorange</vt:lpstr>
      <vt:lpstr>Production_cost_per_drum_Tyran</vt:lpstr>
      <vt:lpstr>Remaining_inventory_at_day_821</vt:lpstr>
      <vt:lpstr>Remaining_time_factory_capacity</vt:lpstr>
      <vt:lpstr>Remaining_time_WH</vt:lpstr>
      <vt:lpstr>Revenue_per_drum</vt:lpstr>
      <vt:lpstr>Setup_cost_per_batch</vt:lpstr>
      <vt:lpstr>SL_Calopeia</vt:lpstr>
      <vt:lpstr>SL_Fardo</vt:lpstr>
      <vt:lpstr>SL_Sorange</vt:lpstr>
      <vt:lpstr>SL_Tyran</vt:lpstr>
      <vt:lpstr>SS_Calopeia</vt:lpstr>
      <vt:lpstr>SS_Fardo</vt:lpstr>
      <vt:lpstr>SS_Sorange</vt:lpstr>
      <vt:lpstr>SS_Tyran</vt:lpstr>
      <vt:lpstr>Starting_Inventory</vt:lpstr>
      <vt:lpstr>std_Calopeia_WH</vt:lpstr>
      <vt:lpstr>std_Fardo</vt:lpstr>
      <vt:lpstr>std_Sorange</vt:lpstr>
      <vt:lpstr>std_Tyran</vt:lpstr>
      <vt:lpstr>Truck_capacity</vt:lpstr>
      <vt:lpstr>Truck_time_continent_Fardo</vt:lpstr>
      <vt:lpstr>Truck_time_different_region</vt:lpstr>
      <vt:lpstr>Truck_time_same_region</vt:lpstr>
      <vt:lpstr>Trucking_cost_continent_Fardo</vt:lpstr>
      <vt:lpstr>Trucking_cost_different_region</vt:lpstr>
      <vt:lpstr>Trucking_cost_same_region</vt:lpstr>
      <vt:lpstr>Variable_production_cost</vt:lpstr>
      <vt:lpstr>WH_cost</vt:lpstr>
      <vt:lpstr>z_Calopeia</vt:lpstr>
      <vt:lpstr>z_Fardo</vt:lpstr>
      <vt:lpstr>z_Sorange</vt:lpstr>
      <vt:lpstr>z_Tyran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Nguyen</cp:lastModifiedBy>
  <dcterms:created xsi:type="dcterms:W3CDTF">2026-07-14T01:29:24Z</dcterms:created>
  <dcterms:modified xsi:type="dcterms:W3CDTF">2026-07-30T04:23:44Z</dcterms:modified>
</cp:coreProperties>
</file>